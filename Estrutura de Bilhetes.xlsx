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.I.A.D.E - Project Trader System\WARLOCK - Intelligent Sports Betting System\tracking\"/>
    </mc:Choice>
  </mc:AlternateContent>
  <xr:revisionPtr revIDLastSave="0" documentId="13_ncr:1_{1E7DA7CD-EA15-4DD3-AFCC-5CE54F79F6B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ilhete" sheetId="1" r:id="rId1"/>
    <sheet name="Resumo do Bilhete" sheetId="2" r:id="rId2"/>
    <sheet name="Poisson" sheetId="3" r:id="rId3"/>
    <sheet name="Correlação" sheetId="4" r:id="rId4"/>
    <sheet name="Parametros" sheetId="5" r:id="rId5"/>
    <sheet name="Glossário" sheetId="6" r:id="rId6"/>
    <sheet name="List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1" l="1"/>
  <c r="B27" i="4"/>
  <c r="B26" i="4"/>
  <c r="B23" i="4"/>
  <c r="B22" i="4"/>
  <c r="B25" i="4" s="1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E8" i="3" s="1"/>
  <c r="B17" i="3"/>
  <c r="B16" i="3"/>
  <c r="B15" i="3"/>
  <c r="E10" i="3"/>
  <c r="B37" i="2"/>
  <c r="C21" i="2"/>
  <c r="B19" i="2"/>
  <c r="E9" i="2"/>
  <c r="B9" i="2"/>
  <c r="E8" i="2"/>
  <c r="B8" i="2"/>
  <c r="E7" i="2"/>
  <c r="B7" i="2"/>
  <c r="E6" i="2"/>
  <c r="B6" i="2"/>
  <c r="A3" i="2"/>
  <c r="H61" i="1"/>
  <c r="F61" i="1"/>
  <c r="C61" i="1"/>
  <c r="F60" i="1"/>
  <c r="Q59" i="1"/>
  <c r="L59" i="1"/>
  <c r="K59" i="1"/>
  <c r="I59" i="1"/>
  <c r="H59" i="1"/>
  <c r="Q58" i="1"/>
  <c r="L58" i="1"/>
  <c r="K58" i="1"/>
  <c r="I58" i="1"/>
  <c r="H58" i="1"/>
  <c r="Q57" i="1"/>
  <c r="L57" i="1"/>
  <c r="K57" i="1"/>
  <c r="I57" i="1"/>
  <c r="H57" i="1"/>
  <c r="Q56" i="1"/>
  <c r="L56" i="1"/>
  <c r="K56" i="1"/>
  <c r="I56" i="1"/>
  <c r="H56" i="1"/>
  <c r="Q55" i="1"/>
  <c r="L55" i="1"/>
  <c r="K55" i="1"/>
  <c r="I55" i="1"/>
  <c r="H55" i="1"/>
  <c r="Q54" i="1"/>
  <c r="L54" i="1"/>
  <c r="K54" i="1"/>
  <c r="I54" i="1"/>
  <c r="H54" i="1"/>
  <c r="Q53" i="1"/>
  <c r="L53" i="1"/>
  <c r="K53" i="1"/>
  <c r="I53" i="1"/>
  <c r="H53" i="1"/>
  <c r="Q52" i="1"/>
  <c r="L52" i="1"/>
  <c r="K52" i="1"/>
  <c r="I52" i="1"/>
  <c r="H52" i="1"/>
  <c r="H47" i="1"/>
  <c r="F47" i="1"/>
  <c r="C47" i="1"/>
  <c r="F46" i="1"/>
  <c r="Q45" i="1"/>
  <c r="L45" i="1"/>
  <c r="K45" i="1"/>
  <c r="I45" i="1"/>
  <c r="H45" i="1"/>
  <c r="Q44" i="1"/>
  <c r="L44" i="1"/>
  <c r="K44" i="1"/>
  <c r="I44" i="1"/>
  <c r="H44" i="1"/>
  <c r="Q43" i="1"/>
  <c r="L43" i="1"/>
  <c r="K43" i="1"/>
  <c r="I43" i="1"/>
  <c r="H43" i="1"/>
  <c r="Q42" i="1"/>
  <c r="L42" i="1"/>
  <c r="K42" i="1"/>
  <c r="I42" i="1"/>
  <c r="H42" i="1"/>
  <c r="Q41" i="1"/>
  <c r="L41" i="1"/>
  <c r="K41" i="1"/>
  <c r="I41" i="1"/>
  <c r="H41" i="1"/>
  <c r="Q40" i="1"/>
  <c r="L40" i="1"/>
  <c r="K40" i="1"/>
  <c r="I40" i="1"/>
  <c r="H40" i="1"/>
  <c r="M40" i="1" s="1"/>
  <c r="Q39" i="1"/>
  <c r="L39" i="1"/>
  <c r="K39" i="1"/>
  <c r="I39" i="1"/>
  <c r="H39" i="1"/>
  <c r="Q38" i="1"/>
  <c r="L38" i="1"/>
  <c r="K38" i="1"/>
  <c r="I38" i="1"/>
  <c r="H38" i="1"/>
  <c r="H33" i="1"/>
  <c r="F33" i="1"/>
  <c r="C33" i="1"/>
  <c r="F32" i="1"/>
  <c r="Q31" i="1"/>
  <c r="L31" i="1"/>
  <c r="K31" i="1"/>
  <c r="I31" i="1"/>
  <c r="H31" i="1"/>
  <c r="M31" i="1" s="1"/>
  <c r="Q30" i="1"/>
  <c r="L30" i="1"/>
  <c r="K30" i="1"/>
  <c r="I30" i="1"/>
  <c r="H30" i="1"/>
  <c r="Q29" i="1"/>
  <c r="L29" i="1"/>
  <c r="K29" i="1"/>
  <c r="I29" i="1"/>
  <c r="H29" i="1"/>
  <c r="M29" i="1" s="1"/>
  <c r="Q28" i="1"/>
  <c r="L28" i="1"/>
  <c r="K28" i="1"/>
  <c r="I28" i="1"/>
  <c r="H28" i="1"/>
  <c r="Q27" i="1"/>
  <c r="L27" i="1"/>
  <c r="K27" i="1"/>
  <c r="I27" i="1"/>
  <c r="H27" i="1"/>
  <c r="M27" i="1" s="1"/>
  <c r="Q26" i="1"/>
  <c r="L26" i="1"/>
  <c r="K26" i="1"/>
  <c r="I26" i="1"/>
  <c r="H26" i="1"/>
  <c r="Q25" i="1"/>
  <c r="L25" i="1"/>
  <c r="K25" i="1"/>
  <c r="I25" i="1"/>
  <c r="H25" i="1"/>
  <c r="M25" i="1" s="1"/>
  <c r="Q24" i="1"/>
  <c r="L24" i="1"/>
  <c r="K24" i="1"/>
  <c r="I24" i="1"/>
  <c r="H24" i="1"/>
  <c r="H19" i="1"/>
  <c r="F19" i="1"/>
  <c r="C19" i="1"/>
  <c r="F18" i="1"/>
  <c r="Q17" i="1"/>
  <c r="L17" i="1"/>
  <c r="K17" i="1"/>
  <c r="I17" i="1"/>
  <c r="H17" i="1"/>
  <c r="Q16" i="1"/>
  <c r="L16" i="1"/>
  <c r="K16" i="1"/>
  <c r="I16" i="1"/>
  <c r="H16" i="1"/>
  <c r="M16" i="1" s="1"/>
  <c r="Q15" i="1"/>
  <c r="L15" i="1"/>
  <c r="K15" i="1"/>
  <c r="I15" i="1"/>
  <c r="H15" i="1"/>
  <c r="M15" i="1" s="1"/>
  <c r="Q14" i="1"/>
  <c r="L14" i="1"/>
  <c r="K14" i="1"/>
  <c r="I14" i="1"/>
  <c r="H14" i="1"/>
  <c r="M14" i="1" s="1"/>
  <c r="Q13" i="1"/>
  <c r="L13" i="1"/>
  <c r="K13" i="1"/>
  <c r="I13" i="1"/>
  <c r="H13" i="1"/>
  <c r="Q12" i="1"/>
  <c r="L12" i="1"/>
  <c r="K12" i="1"/>
  <c r="I12" i="1"/>
  <c r="H12" i="1"/>
  <c r="M12" i="1" s="1"/>
  <c r="Q11" i="1"/>
  <c r="L11" i="1"/>
  <c r="K11" i="1"/>
  <c r="I11" i="1"/>
  <c r="H11" i="1"/>
  <c r="M11" i="1" s="1"/>
  <c r="Q10" i="1"/>
  <c r="L10" i="1"/>
  <c r="K10" i="1"/>
  <c r="I10" i="1"/>
  <c r="J38" i="1" l="1"/>
  <c r="N38" i="1" s="1"/>
  <c r="E4" i="3"/>
  <c r="O53" i="1"/>
  <c r="P53" i="1" s="1"/>
  <c r="O57" i="1"/>
  <c r="P57" i="1" s="1"/>
  <c r="O38" i="1"/>
  <c r="P38" i="1" s="1"/>
  <c r="J11" i="1"/>
  <c r="N11" i="1" s="1"/>
  <c r="O30" i="1"/>
  <c r="P30" i="1" s="1"/>
  <c r="O39" i="1"/>
  <c r="P39" i="1" s="1"/>
  <c r="E9" i="3"/>
  <c r="E5" i="3"/>
  <c r="E6" i="3"/>
  <c r="O16" i="1"/>
  <c r="P16" i="1" s="1"/>
  <c r="J24" i="1"/>
  <c r="N24" i="1" s="1"/>
  <c r="J28" i="1"/>
  <c r="N28" i="1" s="1"/>
  <c r="E7" i="3"/>
  <c r="E11" i="3"/>
  <c r="O42" i="1"/>
  <c r="P42" i="1" s="1"/>
  <c r="C34" i="3"/>
  <c r="K61" i="1"/>
  <c r="G9" i="2" s="1"/>
  <c r="O13" i="1"/>
  <c r="P13" i="1" s="1"/>
  <c r="J15" i="1"/>
  <c r="N15" i="1" s="1"/>
  <c r="O26" i="1"/>
  <c r="P26" i="1" s="1"/>
  <c r="O55" i="1"/>
  <c r="P55" i="1" s="1"/>
  <c r="O12" i="1"/>
  <c r="P12" i="1" s="1"/>
  <c r="O25" i="1"/>
  <c r="P25" i="1" s="1"/>
  <c r="J29" i="1"/>
  <c r="N29" i="1" s="1"/>
  <c r="O29" i="1"/>
  <c r="P29" i="1" s="1"/>
  <c r="J16" i="1"/>
  <c r="N16" i="1" s="1"/>
  <c r="K47" i="1"/>
  <c r="G8" i="2" s="1"/>
  <c r="O44" i="1"/>
  <c r="P44" i="1" s="1"/>
  <c r="O59" i="1"/>
  <c r="P59" i="1" s="1"/>
  <c r="B18" i="2"/>
  <c r="B22" i="2" s="1"/>
  <c r="K19" i="1"/>
  <c r="G6" i="2" s="1"/>
  <c r="O17" i="1"/>
  <c r="P17" i="1" s="1"/>
  <c r="K33" i="1"/>
  <c r="G7" i="2" s="1"/>
  <c r="J40" i="1"/>
  <c r="N40" i="1" s="1"/>
  <c r="O40" i="1"/>
  <c r="P40" i="1" s="1"/>
  <c r="J44" i="1"/>
  <c r="N44" i="1" s="1"/>
  <c r="J59" i="1"/>
  <c r="N59" i="1" s="1"/>
  <c r="J12" i="1"/>
  <c r="N12" i="1" s="1"/>
  <c r="J25" i="1"/>
  <c r="N25" i="1" s="1"/>
  <c r="I46" i="1"/>
  <c r="D8" i="2" s="1"/>
  <c r="J42" i="1"/>
  <c r="N42" i="1" s="1"/>
  <c r="J53" i="1"/>
  <c r="N53" i="1" s="1"/>
  <c r="J55" i="1"/>
  <c r="N55" i="1" s="1"/>
  <c r="J57" i="1"/>
  <c r="N57" i="1" s="1"/>
  <c r="I32" i="1"/>
  <c r="D7" i="2" s="1"/>
  <c r="M41" i="1"/>
  <c r="O41" i="1"/>
  <c r="P41" i="1" s="1"/>
  <c r="J41" i="1"/>
  <c r="N41" i="1" s="1"/>
  <c r="M58" i="1"/>
  <c r="O58" i="1"/>
  <c r="P58" i="1" s="1"/>
  <c r="J58" i="1"/>
  <c r="N58" i="1" s="1"/>
  <c r="K18" i="1"/>
  <c r="C6" i="2" s="1"/>
  <c r="F6" i="2"/>
  <c r="M10" i="1"/>
  <c r="C18" i="1"/>
  <c r="M30" i="1"/>
  <c r="L32" i="1"/>
  <c r="M39" i="1"/>
  <c r="M43" i="1"/>
  <c r="O43" i="1"/>
  <c r="P43" i="1" s="1"/>
  <c r="J43" i="1"/>
  <c r="N43" i="1" s="1"/>
  <c r="M52" i="1"/>
  <c r="K60" i="1"/>
  <c r="C9" i="2" s="1"/>
  <c r="O52" i="1"/>
  <c r="P52" i="1" s="1"/>
  <c r="I60" i="1"/>
  <c r="D9" i="2" s="1"/>
  <c r="J52" i="1"/>
  <c r="C60" i="1"/>
  <c r="F9" i="2"/>
  <c r="M13" i="1"/>
  <c r="M17" i="1"/>
  <c r="L18" i="1"/>
  <c r="M26" i="1"/>
  <c r="O11" i="1"/>
  <c r="P11" i="1" s="1"/>
  <c r="J13" i="1"/>
  <c r="N13" i="1" s="1"/>
  <c r="O15" i="1"/>
  <c r="P15" i="1" s="1"/>
  <c r="J17" i="1"/>
  <c r="N17" i="1" s="1"/>
  <c r="K32" i="1"/>
  <c r="C7" i="2" s="1"/>
  <c r="O24" i="1"/>
  <c r="P24" i="1" s="1"/>
  <c r="F7" i="2"/>
  <c r="J26" i="1"/>
  <c r="N26" i="1" s="1"/>
  <c r="O28" i="1"/>
  <c r="P28" i="1" s="1"/>
  <c r="J30" i="1"/>
  <c r="N30" i="1" s="1"/>
  <c r="C32" i="1"/>
  <c r="J39" i="1"/>
  <c r="N39" i="1" s="1"/>
  <c r="M45" i="1"/>
  <c r="O45" i="1"/>
  <c r="P45" i="1" s="1"/>
  <c r="J45" i="1"/>
  <c r="N45" i="1" s="1"/>
  <c r="M54" i="1"/>
  <c r="O54" i="1"/>
  <c r="P54" i="1" s="1"/>
  <c r="J54" i="1"/>
  <c r="N54" i="1" s="1"/>
  <c r="J10" i="1"/>
  <c r="O10" i="1"/>
  <c r="P10" i="1" s="1"/>
  <c r="J14" i="1"/>
  <c r="N14" i="1" s="1"/>
  <c r="O14" i="1"/>
  <c r="P14" i="1" s="1"/>
  <c r="I18" i="1"/>
  <c r="D6" i="2" s="1"/>
  <c r="M24" i="1"/>
  <c r="J27" i="1"/>
  <c r="N27" i="1" s="1"/>
  <c r="O27" i="1"/>
  <c r="P27" i="1" s="1"/>
  <c r="M28" i="1"/>
  <c r="J31" i="1"/>
  <c r="N31" i="1" s="1"/>
  <c r="O31" i="1"/>
  <c r="P31" i="1" s="1"/>
  <c r="F8" i="2"/>
  <c r="K46" i="1"/>
  <c r="C8" i="2" s="1"/>
  <c r="M38" i="1"/>
  <c r="L46" i="1"/>
  <c r="C46" i="1"/>
  <c r="M56" i="1"/>
  <c r="O56" i="1"/>
  <c r="P56" i="1" s="1"/>
  <c r="J56" i="1"/>
  <c r="N56" i="1" s="1"/>
  <c r="L60" i="1"/>
  <c r="B24" i="4"/>
  <c r="M42" i="1"/>
  <c r="M44" i="1"/>
  <c r="M53" i="1"/>
  <c r="M55" i="1"/>
  <c r="M57" i="1"/>
  <c r="M59" i="1"/>
  <c r="C15" i="3"/>
  <c r="C17" i="3"/>
  <c r="C19" i="3"/>
  <c r="C21" i="3"/>
  <c r="C23" i="3"/>
  <c r="C25" i="3"/>
  <c r="C27" i="3"/>
  <c r="C29" i="3"/>
  <c r="C31" i="3"/>
  <c r="C33" i="3"/>
  <c r="C35" i="3"/>
  <c r="C16" i="3"/>
  <c r="C18" i="3"/>
  <c r="C20" i="3"/>
  <c r="C22" i="3"/>
  <c r="C24" i="3"/>
  <c r="C26" i="3"/>
  <c r="C28" i="3"/>
  <c r="C30" i="3"/>
  <c r="C32" i="3"/>
  <c r="B13" i="2" l="1"/>
  <c r="B11" i="2"/>
  <c r="B34" i="2"/>
  <c r="B12" i="2"/>
  <c r="N19" i="1"/>
  <c r="H6" i="2" s="1"/>
  <c r="N10" i="1"/>
  <c r="N61" i="1"/>
  <c r="H9" i="2" s="1"/>
  <c r="N52" i="1"/>
  <c r="N47" i="1"/>
  <c r="H8" i="2" s="1"/>
  <c r="B36" i="2"/>
  <c r="B35" i="2"/>
  <c r="N33" i="1"/>
  <c r="H7" i="2" s="1"/>
  <c r="B20" i="2" l="1"/>
  <c r="B27" i="2"/>
  <c r="B14" i="2"/>
  <c r="B26" i="2" s="1"/>
  <c r="B21" i="2"/>
  <c r="B16" i="2"/>
  <c r="B28" i="2"/>
  <c r="B24" i="2"/>
  <c r="B33" i="2" l="1"/>
  <c r="B32" i="2"/>
  <c r="B29" i="2"/>
  <c r="B25" i="2"/>
</calcChain>
</file>

<file path=xl/sharedStrings.xml><?xml version="1.0" encoding="utf-8"?>
<sst xmlns="http://schemas.openxmlformats.org/spreadsheetml/2006/main" count="650" uniqueCount="375">
  <si>
    <t>MONTAGEM DE BILHETE — 1 bilhete, até 4 jogos</t>
  </si>
  <si>
    <t>_mercados</t>
  </si>
  <si>
    <t>_escopos</t>
  </si>
  <si>
    <t>_chaves</t>
  </si>
  <si>
    <t>amarelo = você digita  ·  azul = cálculo. Preencha SÓ os jogos que a estratégia usar (1 a 4). %Modelo = probabilidade da SELEÇÃO acontecer (não a do lado contrário).</t>
  </si>
  <si>
    <t>Gols</t>
  </si>
  <si>
    <t>total</t>
  </si>
  <si>
    <t>gols</t>
  </si>
  <si>
    <t>Resultado combinado de todos os jogos preenchidos: aba  ►  Resumo do Bilhete</t>
  </si>
  <si>
    <t>Gols 1º Tempo</t>
  </si>
  <si>
    <t>casa</t>
  </si>
  <si>
    <t>gols_1t</t>
  </si>
  <si>
    <t>DADOS DO BILHETE   (uma vez — vale para todos os jogos)</t>
  </si>
  <si>
    <t>Gols 2º Tempo</t>
  </si>
  <si>
    <t>fora</t>
  </si>
  <si>
    <t>gols_2t</t>
  </si>
  <si>
    <t>Casa:</t>
  </si>
  <si>
    <t>Superbet</t>
  </si>
  <si>
    <t>ID aposta</t>
  </si>
  <si>
    <t>Data:</t>
  </si>
  <si>
    <t>Stake (R$):</t>
  </si>
  <si>
    <t>Estratégia:</t>
  </si>
  <si>
    <t>alavancagem</t>
  </si>
  <si>
    <t>Estratégia = mão fixa / soros / soros parcial / gale / alavancagem — só registro, não entra na conta</t>
  </si>
  <si>
    <t>Escanteios</t>
  </si>
  <si>
    <t>ambas</t>
  </si>
  <si>
    <t>escanteios</t>
  </si>
  <si>
    <t>Escanteios 1º Tempo</t>
  </si>
  <si>
    <t>escanteios_1t</t>
  </si>
  <si>
    <t>JOGO 1</t>
  </si>
  <si>
    <t>Confronto:</t>
  </si>
  <si>
    <t>Campeonato:</t>
  </si>
  <si>
    <t>Escanteios 2º Tempo</t>
  </si>
  <si>
    <t>escanteios_2t</t>
  </si>
  <si>
    <t>Odd Criar Aposta (SGP) →</t>
  </si>
  <si>
    <t>Joint Simulador (0–1, opcional) →</t>
  </si>
  <si>
    <t>← cole a odd combinada que a casa mostra pro bet builder DESTE jogo</t>
  </si>
  <si>
    <t>Cartões</t>
  </si>
  <si>
    <t>cartoes</t>
  </si>
  <si>
    <t>MERCADO</t>
  </si>
  <si>
    <t>LINHA</t>
  </si>
  <si>
    <t>SELEÇÃO</t>
  </si>
  <si>
    <t>Odd Justa</t>
  </si>
  <si>
    <t>Odd Casa</t>
  </si>
  <si>
    <t>Odd Oposta</t>
  </si>
  <si>
    <t>%Modelo</t>
  </si>
  <si>
    <t>p usada</t>
  </si>
  <si>
    <t>q limpa</t>
  </si>
  <si>
    <t>p̂ ajust.</t>
  </si>
  <si>
    <t>impl. c/ margem</t>
  </si>
  <si>
    <t>margem linha</t>
  </si>
  <si>
    <t>edge</t>
  </si>
  <si>
    <t>edge ajust.</t>
  </si>
  <si>
    <t>discord.</t>
  </si>
  <si>
    <t>risco</t>
  </si>
  <si>
    <t>check</t>
  </si>
  <si>
    <t>chave</t>
  </si>
  <si>
    <t>escopo/arg</t>
  </si>
  <si>
    <t>Cartões 1º Tempo</t>
  </si>
  <si>
    <t>cartoes_1t</t>
  </si>
  <si>
    <t>Cartões 2º Tempo</t>
  </si>
  <si>
    <t>cartoes_2t</t>
  </si>
  <si>
    <t>Cartões Vermelhos</t>
  </si>
  <si>
    <t>cartoes_vermelhos</t>
  </si>
  <si>
    <t>Cartões Vermelhos 1º Tempo</t>
  </si>
  <si>
    <t>cartoes_vermelhos_1t</t>
  </si>
  <si>
    <t>Cartões Vermelhos 2º Tempo</t>
  </si>
  <si>
    <t>cartoes_vermelhos_2t</t>
  </si>
  <si>
    <t>Finalizações</t>
  </si>
  <si>
    <t>chutes</t>
  </si>
  <si>
    <t>Finalizações 1º Tempo</t>
  </si>
  <si>
    <t>chutes_1t</t>
  </si>
  <si>
    <t>Finalizações 2º Tempo</t>
  </si>
  <si>
    <t>chutes_2t</t>
  </si>
  <si>
    <t>Finalizações no Gol</t>
  </si>
  <si>
    <t>chutes_gol</t>
  </si>
  <si>
    <t>→ JOGO 1</t>
  </si>
  <si>
    <t>produto</t>
  </si>
  <si>
    <t>SGP implica</t>
  </si>
  <si>
    <t>JOINT USADO</t>
  </si>
  <si>
    <t>nº pernas</t>
  </si>
  <si>
    <t>Finalizações no Gol 1º Tempo</t>
  </si>
  <si>
    <t>chutes_gol_1t</t>
  </si>
  <si>
    <t>Π odd casa</t>
  </si>
  <si>
    <t>odd C.Aposta</t>
  </si>
  <si>
    <t>correlação</t>
  </si>
  <si>
    <t>prod. mercado</t>
  </si>
  <si>
    <t>prod. λ-ajust.</t>
  </si>
  <si>
    <t>correlação &lt; 0 = casa paga MENOS que multiplicar as pernas → correlação positiva embutida. prod. mercado = Π q limpa. prod. λ-ajust. = Π p̂ ajust.</t>
  </si>
  <si>
    <t>Finalizações no Gol 2º Tempo</t>
  </si>
  <si>
    <t>chutes_gol_2t</t>
  </si>
  <si>
    <t>Faltas</t>
  </si>
  <si>
    <t>faltas</t>
  </si>
  <si>
    <t>JOGO 2</t>
  </si>
  <si>
    <t>Faltas 1º Tempo</t>
  </si>
  <si>
    <t>faltas_1t</t>
  </si>
  <si>
    <t>Faltas 2º Tempo</t>
  </si>
  <si>
    <t>faltas_2t</t>
  </si>
  <si>
    <t>Impedimentos</t>
  </si>
  <si>
    <t>impedimentos</t>
  </si>
  <si>
    <t>Impedimentos 1º Tempo</t>
  </si>
  <si>
    <t>impedimentos_1t</t>
  </si>
  <si>
    <t>Impedimentos 2º Tempo</t>
  </si>
  <si>
    <t>impedimentos_2t</t>
  </si>
  <si>
    <t>Laterais</t>
  </si>
  <si>
    <t>laterais</t>
  </si>
  <si>
    <t>Laterais 1º Tempo</t>
  </si>
  <si>
    <t>laterais_1t</t>
  </si>
  <si>
    <t>Laterais 2º Tempo</t>
  </si>
  <si>
    <t>laterais_2t</t>
  </si>
  <si>
    <t>Tiros de Meta</t>
  </si>
  <si>
    <t>tiros_meta</t>
  </si>
  <si>
    <t>Tiros de Meta 1º Tempo</t>
  </si>
  <si>
    <t>tiros_meta_1t</t>
  </si>
  <si>
    <t>Tiros de Meta 2º Tempo</t>
  </si>
  <si>
    <t>tiros_meta_2t</t>
  </si>
  <si>
    <t>→ JOGO 2</t>
  </si>
  <si>
    <t>Desarmes</t>
  </si>
  <si>
    <t>desarmes</t>
  </si>
  <si>
    <t>Desarmes 1º Tempo</t>
  </si>
  <si>
    <t>desarmes_1t</t>
  </si>
  <si>
    <t>Desarmes 2º Tempo</t>
  </si>
  <si>
    <t>desarmes_2t</t>
  </si>
  <si>
    <t>JOGO 3</t>
  </si>
  <si>
    <t>Defesas do Goleiro</t>
  </si>
  <si>
    <t>defesas_goleiro</t>
  </si>
  <si>
    <t>Defesas do Goleiro 1º Tempo</t>
  </si>
  <si>
    <t>defesas_goleiro_1t</t>
  </si>
  <si>
    <t>Defesas do Goleiro 2º Tempo</t>
  </si>
  <si>
    <t>defesas_goleiro_2t</t>
  </si>
  <si>
    <t>Resultado Final</t>
  </si>
  <si>
    <t>resultado</t>
  </si>
  <si>
    <t>Resultado Final 1º Tempo</t>
  </si>
  <si>
    <t>resultado_1t</t>
  </si>
  <si>
    <t>Resultado Final 2º Tempo</t>
  </si>
  <si>
    <t>resultado_2t</t>
  </si>
  <si>
    <t>Dupla Chance</t>
  </si>
  <si>
    <t>dupla_chance</t>
  </si>
  <si>
    <t>Dupla Chance 1º Tempo</t>
  </si>
  <si>
    <t>dupla_chance_1t</t>
  </si>
  <si>
    <t>Dupla Chance 2º Tempo</t>
  </si>
  <si>
    <t>dupla_chance_2t</t>
  </si>
  <si>
    <t>Empate Anula (DNB)</t>
  </si>
  <si>
    <t>dnb</t>
  </si>
  <si>
    <t>Empate Anula (DNB) 2º Tempo</t>
  </si>
  <si>
    <t>dnb_2t</t>
  </si>
  <si>
    <t>→ JOGO 3</t>
  </si>
  <si>
    <t>Ambas Marcam</t>
  </si>
  <si>
    <t>ambas_marcam</t>
  </si>
  <si>
    <t>Ambas Marcam 1º Tempo</t>
  </si>
  <si>
    <t>ambas_marcam_1t</t>
  </si>
  <si>
    <t>Ambas Marcam 2º Tempo</t>
  </si>
  <si>
    <t>ambas_marcam_2t</t>
  </si>
  <si>
    <t>JOGO 4</t>
  </si>
  <si>
    <t>Par ou Ímpar</t>
  </si>
  <si>
    <t>par_impar</t>
  </si>
  <si>
    <t>Time Marca</t>
  </si>
  <si>
    <t>time_marca</t>
  </si>
  <si>
    <t>Handicap Europeu</t>
  </si>
  <si>
    <t>handicap_europeu</t>
  </si>
  <si>
    <t>Handicap Asiático</t>
  </si>
  <si>
    <t>handicap_asia</t>
  </si>
  <si>
    <t>Placar Exato</t>
  </si>
  <si>
    <t>placar_exato</t>
  </si>
  <si>
    <t>Placar Exato 1º Tempo</t>
  </si>
  <si>
    <t>placar_exato_1t</t>
  </si>
  <si>
    <t>Faixa de Gols</t>
  </si>
  <si>
    <t>faixa_gols</t>
  </si>
  <si>
    <t>Equipe com Mais Escanteios</t>
  </si>
  <si>
    <t>equipe_mais_escanteios</t>
  </si>
  <si>
    <t>Equipe com Mais Cartões</t>
  </si>
  <si>
    <t>equipe_mais_cartoes</t>
  </si>
  <si>
    <t>Handicap de Escanteios</t>
  </si>
  <si>
    <t>handicap_escanteios</t>
  </si>
  <si>
    <t>Handicap de Cartões</t>
  </si>
  <si>
    <t>handicap_cartoes</t>
  </si>
  <si>
    <t>→ JOGO 4</t>
  </si>
  <si>
    <t>Ímpar/Par - Escanteios</t>
  </si>
  <si>
    <t>oddeven_escanteios</t>
  </si>
  <si>
    <t>Ímpar/Par - Cartões</t>
  </si>
  <si>
    <t>oddeven_cartoes</t>
  </si>
  <si>
    <t>Combo (E — vários mercados)</t>
  </si>
  <si>
    <t>combo</t>
  </si>
  <si>
    <t>RESUMO DO BILHETE</t>
  </si>
  <si>
    <t>Um jogo por linha (só os preenchidos entram). P(bilhete) = Π dos JOINT USADO. Casa / ID / stake vêm do cabeçalho da aba Bilhete.</t>
  </si>
  <si>
    <t>Jogo</t>
  </si>
  <si>
    <t>Confronto</t>
  </si>
  <si>
    <t>odd casa efetiva</t>
  </si>
  <si>
    <t>fonte do joint</t>
  </si>
  <si>
    <t>joint mercado</t>
  </si>
  <si>
    <t>joint λ-ajust.</t>
  </si>
  <si>
    <t>Nº de jogos no bilhete</t>
  </si>
  <si>
    <t>P(bilhete) = Π joint usado</t>
  </si>
  <si>
    <t>produto entre jogos (jogos ~independentes)</t>
  </si>
  <si>
    <t>P(bilhete) — mercado (de-vig)</t>
  </si>
  <si>
    <t>o que a casa 'acha' — Π (q limpa) por jogo</t>
  </si>
  <si>
    <t>P(bilhete) — modelo (λ-ajust.)</t>
  </si>
  <si>
    <t>Π (p̂ ajust.) por jogo — modelo encolhido pro mercado por λ</t>
  </si>
  <si>
    <t>Haircut de confiança (pp)</t>
  </si>
  <si>
    <t>desconto manual — o modelo tende a ser otimista nas caudas</t>
  </si>
  <si>
    <t>P(bilhete) ajustado</t>
  </si>
  <si>
    <t>Odd casa do bilhete</t>
  </si>
  <si>
    <t>usa a odd Criar Aposta de cada jogo</t>
  </si>
  <si>
    <t>Odd se pernas independentes (Π todas)</t>
  </si>
  <si>
    <t>multiplicar as pernas soltas. Maior que a de cima = correlação positiva precificada</t>
  </si>
  <si>
    <t>Margem composta embutida</t>
  </si>
  <si>
    <t>(1/P mercado) ÷ Odd independentes − 1 — o pedágio total</t>
  </si>
  <si>
    <t>Odd justa do bilhete (modelo)</t>
  </si>
  <si>
    <t>Retorno se ganhar (R$)</t>
  </si>
  <si>
    <t>stake (cabeçalho) × odd casa do bilhete</t>
  </si>
  <si>
    <t>EV do bilhete</t>
  </si>
  <si>
    <t>EV ajustado (com haircut)</t>
  </si>
  <si>
    <t>o número em que confiar mais</t>
  </si>
  <si>
    <t>EV (λ-ajust.)</t>
  </si>
  <si>
    <t>com p̂ encolhido pro mercado por λ</t>
  </si>
  <si>
    <t>EV se o mercado estiver certo</t>
  </si>
  <si>
    <t>≈ −(margem composta). O que se perde no longo prazo sem edge real</t>
  </si>
  <si>
    <t>P(pelo menos 1 jogo falha)</t>
  </si>
  <si>
    <t>Kelly sugerido (% da banca)</t>
  </si>
  <si>
    <t>0% se o EV ajustado não for positivo. Teto, não alvo.</t>
  </si>
  <si>
    <t>CHECAGENS</t>
  </si>
  <si>
    <t>Combinação ≥ 60%?</t>
  </si>
  <si>
    <t>Combinação ≥ 80%?</t>
  </si>
  <si>
    <t>Nº de jogos</t>
  </si>
  <si>
    <t>Joint por jogo</t>
  </si>
  <si>
    <t>Discordância das pernas</t>
  </si>
  <si>
    <t>Cabeçalho do bilhete</t>
  </si>
  <si>
    <t>JOINT USADO por jogo, na ordem: 1º Joint Simulador · 2º 1/Odd Criar Aposta · 3º produto dos %Modelo.</t>
  </si>
  <si>
    <t>O 3º só vale pra perna única — com 2+ pernas do mesmo jogo SUPER ou SUBESTIMA.</t>
  </si>
  <si>
    <t>1 bilhete = os jogos preenchidos. Para registrar no warlock_tracker: python tracking/exportar_para_tracker.py</t>
  </si>
  <si>
    <t>POISSON / BIN. NEGATIVA — de onde vem o '~90%'</t>
  </si>
  <si>
    <t>Dado o ESPERADO do mercado (μ), calcula a probabilidade de cada linha. É a etapa que core/models/contagem.py faz internamente; aqui é pra conferir à mão e achar o %Modelo de uma perna.</t>
  </si>
  <si>
    <t>μ  — esperado do mercado</t>
  </si>
  <si>
    <t>Under   P(X ≤ linha)</t>
  </si>
  <si>
    <t>ex.: gols no 1º tempo — contagem.py projetou 1,12 em Grêmio x Chape</t>
  </si>
  <si>
    <t>linha (X.5)</t>
  </si>
  <si>
    <t>Over    P(X ≥ linha)</t>
  </si>
  <si>
    <t>r  — dispersão  (vazio = Poisson)</t>
  </si>
  <si>
    <t>odd justa do Under</t>
  </si>
  <si>
    <t>gols: vazio (Poisson). escanteios: ~171. cartões: ~29. Excel trunca r p/ inteiro.</t>
  </si>
  <si>
    <t>k  — p/ P(exatamente k)</t>
  </si>
  <si>
    <t>odd justa do Over</t>
  </si>
  <si>
    <t>faixa: de</t>
  </si>
  <si>
    <t>P(exatamente k)</t>
  </si>
  <si>
    <t>P(de ≤ X ≤ até) — a aposta de faixa, tipo '1-4 gols'</t>
  </si>
  <si>
    <t>faixa: até</t>
  </si>
  <si>
    <t>P(faixa  de ≤ X ≤ até)</t>
  </si>
  <si>
    <t>odd da casa no Under (opcional)</t>
  </si>
  <si>
    <t>implícita da casa (Under)</t>
  </si>
  <si>
    <t>pra medir sua discordância da casa</t>
  </si>
  <si>
    <t>gap: modelo − casa</t>
  </si>
  <si>
    <t>Distribuição  P(X=k)</t>
  </si>
  <si>
    <t>k</t>
  </si>
  <si>
    <t>P(X=k)</t>
  </si>
  <si>
    <t>P(X≤k)</t>
  </si>
  <si>
    <t>CORRELAÇÃO ENTRE PERNAS (ρ dos indicadores 0/1)</t>
  </si>
  <si>
    <t>ρ &gt; 0: a conjunta é MAIOR que o produto (multiplicar SUBESTIMA). ρ &lt; 0: a conjunta é MENOR (multiplicar SUPERESTIMA — é onde se perde dinheiro achando que há valor).</t>
  </si>
  <si>
    <t>Par de mercados</t>
  </si>
  <si>
    <t>Mesmo jogo?</t>
  </si>
  <si>
    <t>ρ típico</t>
  </si>
  <si>
    <t>Status</t>
  </si>
  <si>
    <t>Nota</t>
  </si>
  <si>
    <t>Escanteios: lado casa × lado fora</t>
  </si>
  <si>
    <t>sim</t>
  </si>
  <si>
    <t>MEDIDO (contagem.py)</t>
  </si>
  <si>
    <t>disputa o mesmo tempo de ataque; os desvios se cancelam no total</t>
  </si>
  <si>
    <t>Cartões: lado casa × lado fora</t>
  </si>
  <si>
    <t>fator comum à partida (árbitro, rivalidade) empurra os dois lados junto</t>
  </si>
  <si>
    <t>Faltas: lado casa × lado fora</t>
  </si>
  <si>
    <t>idem cartões</t>
  </si>
  <si>
    <t>Gols FT × Gols 1º tempo (mesmo jogo)</t>
  </si>
  <si>
    <t>ILUSTRATIVO — MEDIR</t>
  </si>
  <si>
    <t>o 1º tempo é subconjunto do total; forte correlação positiva</t>
  </si>
  <si>
    <t>Under gols × Under escanteios (mesmo jogo)</t>
  </si>
  <si>
    <t>jogo truncado derruba os dois</t>
  </si>
  <si>
    <t>Under gols × Under cartões (mesmo jogo)</t>
  </si>
  <si>
    <t>jogo morno</t>
  </si>
  <si>
    <t>Under gols × Under chutes (mesmo jogo)</t>
  </si>
  <si>
    <t>poucas finalizações → poucos gols</t>
  </si>
  <si>
    <t>Over gols × Under escanteios (mesmo jogo)</t>
  </si>
  <si>
    <t>direções opostas</t>
  </si>
  <si>
    <t>Favorito não perde (DC) × Under gols</t>
  </si>
  <si>
    <t>jogo controlado tende a ser fechado</t>
  </si>
  <si>
    <t>Total do time X × Total da partida</t>
  </si>
  <si>
    <t>a perna é componente do todo</t>
  </si>
  <si>
    <t>Pernas de JOGOS DIFERENTES</t>
  </si>
  <si>
    <t>não</t>
  </si>
  <si>
    <t>ILUSTRATIVO</t>
  </si>
  <si>
    <t>independência é boa aproximação; choque de rodada dá +0,03 a +0,08</t>
  </si>
  <si>
    <t>CALCULADORA DE PAR CORRELACIONADO</t>
  </si>
  <si>
    <t>P(A)</t>
  </si>
  <si>
    <t>P(B)</t>
  </si>
  <si>
    <t>ρ</t>
  </si>
  <si>
    <t>P(A e B) COM correlação</t>
  </si>
  <si>
    <t>P(A e B) SEM correlação (produto)</t>
  </si>
  <si>
    <t>diferença (quanto o produto erra)</t>
  </si>
  <si>
    <t>P(A ou B)</t>
  </si>
  <si>
    <t>limite inferior válido</t>
  </si>
  <si>
    <t>limite superior válido</t>
  </si>
  <si>
    <t>Uso: pra 2 pernas do MESMO jogo sem odd Criar Aposta. Com 3+ pernas ou pro número confiável, use o Simulador (core/gatekeeper.py). ρ medido é por LADO; pares de linha são chute — meça antes de confiar.</t>
  </si>
  <si>
    <t>PARÂMETROS</t>
  </si>
  <si>
    <t>fração de Kelly</t>
  </si>
  <si>
    <t>1/4 é teto prudente — o edge é sempre incerto</t>
  </si>
  <si>
    <t>piso de odd oposta p/ de-vig</t>
  </si>
  <si>
    <t>abaixo disso a planilha usa 1/odd cru</t>
  </si>
  <si>
    <t>λ — confiança no modelo</t>
  </si>
  <si>
    <t>p̂ ajust. = q limpa + λ·(%Modelo − q limpa). 0 = usa o mercado, 1 = usa o modelo cru</t>
  </si>
  <si>
    <t>Stake do bilhete: no CABEÇALHO da aba Bilhete (célula H5), não aqui.</t>
  </si>
  <si>
    <t>GLOSSÁRIO</t>
  </si>
  <si>
    <t>1 bilhete = N jogos</t>
  </si>
  <si>
    <t>a planilha é UM bilhete (múltipla). Preencha 1 a 4 blocos JOGO conforme a estratégia. O Resumo combina os preenchidos.</t>
  </si>
  <si>
    <t>SGP / Criar Aposta</t>
  </si>
  <si>
    <t>Same Game Parlay — 2+ seleções do MESMO jogo numa odd combinada. A casa precifica a correlação; não é o produto das pernas.</t>
  </si>
  <si>
    <t>Odd Criar Aposta</t>
  </si>
  <si>
    <t>a odd combinada que a casa mostra pro bet builder de UM jogo. Vira o joint desse jogo (1/odd).</t>
  </si>
  <si>
    <t>probabilidade que o modelo dá pra aquela SELEÇÃO acontecer. Para 'under 3.5' é P(sair MENOS de 3.5). Deve bater com 1/Odd Justa.</t>
  </si>
  <si>
    <t>q limpa (de-vig)</t>
  </si>
  <si>
    <t>implícita da casa SEM a margem (normalizada pela Odd Oposta). Sem Odd Oposta, cai pra 1/Odd Casa.</t>
  </si>
  <si>
    <t>1 / Odd Casa — a probabilidade que o PREÇO da casa embute, AINDA COM a margem dentro. Sempre maior que "q limpa". A diferença entre as duas é o pedágio daquela perna. Coluna K, ao lado de p̂ ajust.</t>
  </si>
  <si>
    <t>1/Odd Casa + 1/Odd Oposta − 1 — o overround (vig / "suco") só DESTA linha over/under. Mercado líquido ~3–6%; exótico 10–20%. Precisa da Odd Oposta preenchida. Coluna L.</t>
  </si>
  <si>
    <t>λ / p̂ ajust.</t>
  </si>
  <si>
    <t>λ (aba Parametros) encolhe o %Modelo pro mercado: p̂ ajust. = q limpa + λ·(%Modelo − q limpa). λ&lt;1 desconta o otimismo do modelo.</t>
  </si>
  <si>
    <t>edge / edge ajust.</t>
  </si>
  <si>
    <t>p × Odd Casa − 1, com p usada (edge) ou p̂ ajust. (edge ajust.). Positivo NÃO garante valor.</t>
  </si>
  <si>
    <t>discord. / risco</t>
  </si>
  <si>
    <t>%Modelo − q limpa. ALTA se &gt;10pp: o modelo erra mais onde mais discorda do mercado. NÃO é oportunidade.</t>
  </si>
  <si>
    <t>probabilidade do jogo inteiro. Ordem: Simulador → 1/Odd Criar Aposta → produto dos %Modelo.</t>
  </si>
  <si>
    <t>Simulador</t>
  </si>
  <si>
    <t>Monte Carlo do jogo (core/gatekeeper.py): fração em que TODAS as pernas do jogo batem juntas.</t>
  </si>
  <si>
    <t>ρ / correlação</t>
  </si>
  <si>
    <t>quanto duas pernas andam juntas. ρ&gt;0: conjunta MAIOR que o produto. ρ&lt;0: MENOR. Ver aba Correlação.</t>
  </si>
  <si>
    <t>P(bilhete)</t>
  </si>
  <si>
    <t>Π dos JOINT USADO dos jogos preenchidos. Jogos diferentes são ~independentes.</t>
  </si>
  <si>
    <t>Margem composta</t>
  </si>
  <si>
    <t>(1/P mercado) ÷ Odd independentes − 1 — o pedágio que a acumulada inteira carrega.</t>
  </si>
  <si>
    <t>Haircut</t>
  </si>
  <si>
    <t>desconto manual (pp) no P(bilhete) — sensibilidade ao otimismo do modelo.</t>
  </si>
  <si>
    <t>Kelly</t>
  </si>
  <si>
    <t>fração da banca = edge / (odd−1). Assume o edge certo; use ≤ 1/4.</t>
  </si>
  <si>
    <t>DE-PARA P/ O TRACKER (colunas 'chave' e 'escopo/arg')</t>
  </si>
  <si>
    <t>chave (contagem)</t>
  </si>
  <si>
    <t>gols, gols_1t, escanteios, escanteios_1t, cartoes, cartoes_1t, chutes, chutes_gol, faltas, impedimentos, laterais, tiros_meta</t>
  </si>
  <si>
    <t>escopo (contagem)</t>
  </si>
  <si>
    <t>total | casa | fora | ambas  (ambas = a planilha gera 2 pernas: casa≥linha E fora≥linha)</t>
  </si>
  <si>
    <t>linha / lado (contagem)</t>
  </si>
  <si>
    <t>vêm das colunas LINHA e SELEÇÃO da própria perna (ex.: 3.5 / under)</t>
  </si>
  <si>
    <t>chave (placar)</t>
  </si>
  <si>
    <t>resultado, dupla_chance, dnb, par_impar, time_marca, ambas_marcam, handicap_europeu, placar_exato, faixa_gols</t>
  </si>
  <si>
    <t>escopo/arg (placar)</t>
  </si>
  <si>
    <t>o parâmetro — resultado:home/draw/away · dupla_chance:1X/12/X2 · dnb:home/away · par_impar:True/False · time_marca:home/away · ambas_marcam:True/False · handicap_europeu:home:-1 · placar_exato:2:1 · faixa_gols:1:4</t>
  </si>
  <si>
    <t>perna sem chave</t>
  </si>
  <si>
    <t>fica de fora do tracker (não liquida). Preencha chave p/ ela entrar.</t>
  </si>
  <si>
    <t>Mercado (rótulo)</t>
  </si>
  <si>
    <t>chave interna</t>
  </si>
  <si>
    <t>escopo/arg p/ PLACAR</t>
  </si>
  <si>
    <t>CONTAGEM (Gols/Escanteios/... e _1t/_2t): escopo = total/casa/fora/ambas; linha+lado nas colunas B/C</t>
  </si>
  <si>
    <t>resultado / resultado_1t / resultado_2t -&gt; home / draw / away</t>
  </si>
  <si>
    <t>dupla_chance (+_1t/_2t) -&gt; 1X / 12 / X2</t>
  </si>
  <si>
    <t>dnb / dnb_2t -&gt; home / away</t>
  </si>
  <si>
    <t>ambas_marcam (+_1t/_2t) -&gt; True / False</t>
  </si>
  <si>
    <t>par_impar -&gt; True (par) / False (ímpar)     time_marca -&gt; home / away</t>
  </si>
  <si>
    <t>handicap_europeu -&gt; home:-1   handicap_asia -&gt; home:-1.5  (.0 ou .5, sem .25/.75)</t>
  </si>
  <si>
    <t>placar_exato (+_1t) -&gt; 2:1     faixa_gols -&gt; 1:4</t>
  </si>
  <si>
    <t>Equipe com Mais X -&gt; home / away / draw</t>
  </si>
  <si>
    <t>Handicap de X -&gt; home:-2 / away:1  (linha inteira)     Ímpar/Par de X -&gt; par / impar</t>
  </si>
  <si>
    <t>Combo (E) -&gt; sub-códigos com ';'  ex.: resultado:home;over:2.5</t>
  </si>
  <si>
    <t xml:space="preserve">A </t>
  </si>
  <si>
    <t>Botafogo-RJ x RB Bragantino</t>
  </si>
  <si>
    <t>Brasileirão Série A</t>
  </si>
  <si>
    <t>over</t>
  </si>
  <si>
    <t>0.5</t>
  </si>
  <si>
    <t>Santos x Cruzeiro</t>
  </si>
  <si>
    <t>1.5</t>
  </si>
  <si>
    <t>3.5</t>
  </si>
  <si>
    <t>#BW9V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</si>
</sst>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&quot;R$&quot;\ #,##0.00"/>
    <numFmt numFmtId="167" formatCode="yyyy\-mm\-dd;@"/>
  </numFmts>
  <fonts count="17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i/>
      <sz val="11"/>
      <color rgb="FF6B7280"/>
      <name val="Calibri"/>
      <family val="2"/>
    </font>
    <font>
      <b/>
      <i/>
      <sz val="11"/>
      <color rgb="FF374151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rgb="FFB91C1C"/>
      <name val="Calibri"/>
      <family val="2"/>
    </font>
    <font>
      <b/>
      <sz val="11"/>
      <color rgb="FF374151"/>
      <name val="Calibri"/>
      <family val="2"/>
    </font>
    <font>
      <b/>
      <sz val="11"/>
      <name val="Calibri"/>
      <family val="2"/>
    </font>
    <font>
      <b/>
      <sz val="11"/>
      <color rgb="FF065F46"/>
      <name val="Calibri"/>
      <family val="2"/>
    </font>
    <font>
      <sz val="11"/>
      <color rgb="FF92400E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rgb="FF6B7280"/>
      <name val="Calibri"/>
      <family val="2"/>
    </font>
    <font>
      <b/>
      <sz val="11"/>
      <name val="Calibri"/>
      <family val="2"/>
    </font>
    <font>
      <b/>
      <sz val="11"/>
      <color rgb="FFB91C1C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F2A1E"/>
      </patternFill>
    </fill>
    <fill>
      <patternFill patternType="solid">
        <fgColor rgb="FFFFE28A"/>
      </patternFill>
    </fill>
    <fill>
      <patternFill patternType="solid">
        <fgColor rgb="FF1E3A5F"/>
      </patternFill>
    </fill>
    <fill>
      <patternFill patternType="solid">
        <fgColor rgb="FF374151"/>
      </patternFill>
    </fill>
    <fill>
      <patternFill patternType="solid">
        <fgColor rgb="FFFEF3C7"/>
      </patternFill>
    </fill>
    <fill>
      <patternFill patternType="solid">
        <fgColor rgb="FFEAF2F8"/>
      </patternFill>
    </fill>
    <fill>
      <patternFill patternType="solid">
        <fgColor rgb="FFD1FAE5"/>
      </patternFill>
    </fill>
  </fills>
  <borders count="32">
    <border>
      <left/>
      <right/>
      <top/>
      <bottom/>
      <diagonal/>
    </border>
    <border>
      <left style="medium">
        <color rgb="FF9A7B29"/>
      </left>
      <right style="medium">
        <color rgb="FF9A7B29"/>
      </right>
      <top style="medium">
        <color rgb="FF9A7B29"/>
      </top>
      <bottom style="medium">
        <color rgb="FF9A7B2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medium">
        <color rgb="FF9A7B29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1D5DB"/>
      </left>
      <right style="medium">
        <color indexed="64"/>
      </right>
      <top style="medium">
        <color indexed="64"/>
      </top>
      <bottom style="thin">
        <color rgb="FFD1D5DB"/>
      </bottom>
      <diagonal/>
    </border>
    <border>
      <left style="thin">
        <color rgb="FFD1D5DB"/>
      </left>
      <right style="medium">
        <color indexed="64"/>
      </right>
      <top style="thin">
        <color rgb="FFD1D5DB"/>
      </top>
      <bottom style="medium">
        <color indexed="64"/>
      </bottom>
      <diagonal/>
    </border>
    <border>
      <left/>
      <right style="thin">
        <color rgb="FFD1D5DB"/>
      </right>
      <top style="medium">
        <color indexed="64"/>
      </top>
      <bottom/>
      <diagonal/>
    </border>
    <border>
      <left/>
      <right style="thin">
        <color rgb="FFD1D5DB"/>
      </right>
      <top/>
      <bottom style="medium">
        <color indexed="64"/>
      </bottom>
      <diagonal/>
    </border>
    <border>
      <left style="thin">
        <color rgb="FFD1D5DB"/>
      </left>
      <right style="thin">
        <color rgb="FFD1D5DB"/>
      </right>
      <top style="medium">
        <color indexed="64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indexed="64"/>
      </bottom>
      <diagonal/>
    </border>
    <border>
      <left/>
      <right style="thin">
        <color rgb="FFD1D5DB"/>
      </right>
      <top style="medium">
        <color indexed="64"/>
      </top>
      <bottom style="medium">
        <color indexed="64"/>
      </bottom>
      <diagonal/>
    </border>
    <border>
      <left style="thin">
        <color rgb="FFD1D5DB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1D5DB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D1D5DB"/>
      </right>
      <top style="medium">
        <color indexed="64"/>
      </top>
      <bottom/>
      <diagonal/>
    </border>
    <border>
      <left style="medium">
        <color indexed="64"/>
      </left>
      <right style="thin">
        <color rgb="FFD1D5DB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D1D5DB"/>
      </left>
      <right style="thin">
        <color rgb="FFD1D5DB"/>
      </right>
      <top/>
      <bottom style="medium">
        <color indexed="64"/>
      </bottom>
      <diagonal/>
    </border>
    <border>
      <left style="thin">
        <color rgb="FFD1D5DB"/>
      </left>
      <right style="medium">
        <color indexed="64"/>
      </right>
      <top/>
      <bottom style="medium">
        <color indexed="64"/>
      </bottom>
      <diagonal/>
    </border>
    <border>
      <left style="thin">
        <color rgb="FFD1D5DB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5" fillId="4" borderId="0" xfId="0" applyFont="1" applyFill="1"/>
    <xf numFmtId="0" fontId="4" fillId="5" borderId="0" xfId="0" applyFont="1" applyFill="1" applyAlignment="1">
      <alignment horizontal="left" wrapText="1"/>
    </xf>
    <xf numFmtId="0" fontId="0" fillId="6" borderId="2" xfId="0" applyFill="1" applyBorder="1"/>
    <xf numFmtId="0" fontId="8" fillId="0" borderId="0" xfId="0" applyFont="1"/>
    <xf numFmtId="0" fontId="4" fillId="5" borderId="0" xfId="0" applyFont="1" applyFill="1"/>
    <xf numFmtId="0" fontId="0" fillId="0" borderId="2" xfId="0" applyBorder="1"/>
    <xf numFmtId="1" fontId="0" fillId="7" borderId="2" xfId="0" applyNumberFormat="1" applyFill="1" applyBorder="1"/>
    <xf numFmtId="10" fontId="0" fillId="7" borderId="2" xfId="0" applyNumberFormat="1" applyFill="1" applyBorder="1"/>
    <xf numFmtId="0" fontId="9" fillId="0" borderId="0" xfId="0" applyFont="1"/>
    <xf numFmtId="2" fontId="0" fillId="3" borderId="2" xfId="0" applyNumberFormat="1" applyFill="1" applyBorder="1"/>
    <xf numFmtId="1" fontId="0" fillId="3" borderId="2" xfId="0" applyNumberFormat="1" applyFill="1" applyBorder="1"/>
    <xf numFmtId="10" fontId="0" fillId="7" borderId="0" xfId="0" applyNumberForma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vertical="top" wrapText="1"/>
    </xf>
    <xf numFmtId="0" fontId="0" fillId="6" borderId="6" xfId="0" applyFill="1" applyBorder="1"/>
    <xf numFmtId="2" fontId="0" fillId="7" borderId="12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/>
    </xf>
    <xf numFmtId="2" fontId="12" fillId="7" borderId="16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/>
    <xf numFmtId="164" fontId="0" fillId="7" borderId="2" xfId="0" applyNumberFormat="1" applyFill="1" applyBorder="1"/>
    <xf numFmtId="164" fontId="12" fillId="7" borderId="15" xfId="0" applyNumberFormat="1" applyFont="1" applyFill="1" applyBorder="1" applyAlignment="1">
      <alignment horizontal="center" vertical="center"/>
    </xf>
    <xf numFmtId="164" fontId="14" fillId="8" borderId="19" xfId="0" applyNumberFormat="1" applyFont="1" applyFill="1" applyBorder="1" applyAlignment="1">
      <alignment horizontal="center" vertical="center"/>
    </xf>
    <xf numFmtId="164" fontId="12" fillId="7" borderId="20" xfId="0" applyNumberFormat="1" applyFont="1" applyFill="1" applyBorder="1" applyAlignment="1">
      <alignment horizontal="center" vertical="center"/>
    </xf>
    <xf numFmtId="164" fontId="12" fillId="7" borderId="16" xfId="0" applyNumberFormat="1" applyFont="1" applyFill="1" applyBorder="1" applyAlignment="1">
      <alignment horizontal="center" vertical="center"/>
    </xf>
    <xf numFmtId="164" fontId="12" fillId="7" borderId="22" xfId="0" applyNumberFormat="1" applyFont="1" applyFill="1" applyBorder="1" applyAlignment="1">
      <alignment horizontal="center" vertical="center"/>
    </xf>
    <xf numFmtId="164" fontId="0" fillId="0" borderId="2" xfId="0" applyNumberFormat="1" applyBorder="1"/>
    <xf numFmtId="165" fontId="0" fillId="0" borderId="2" xfId="0" applyNumberFormat="1" applyBorder="1"/>
    <xf numFmtId="164" fontId="0" fillId="3" borderId="2" xfId="0" applyNumberFormat="1" applyFill="1" applyBorder="1"/>
    <xf numFmtId="165" fontId="0" fillId="7" borderId="2" xfId="0" applyNumberFormat="1" applyFill="1" applyBorder="1"/>
    <xf numFmtId="166" fontId="0" fillId="7" borderId="2" xfId="0" applyNumberFormat="1" applyFill="1" applyBorder="1"/>
    <xf numFmtId="165" fontId="0" fillId="3" borderId="2" xfId="0" applyNumberFormat="1" applyFill="1" applyBorder="1"/>
    <xf numFmtId="165" fontId="0" fillId="0" borderId="0" xfId="0" applyNumberFormat="1"/>
    <xf numFmtId="165" fontId="0" fillId="3" borderId="1" xfId="0" applyNumberFormat="1" applyFill="1" applyBorder="1"/>
    <xf numFmtId="0" fontId="16" fillId="0" borderId="0" xfId="0" applyFont="1"/>
    <xf numFmtId="0" fontId="12" fillId="0" borderId="0" xfId="0" applyFont="1"/>
    <xf numFmtId="164" fontId="12" fillId="7" borderId="29" xfId="0" applyNumberFormat="1" applyFont="1" applyFill="1" applyBorder="1" applyAlignment="1">
      <alignment horizontal="center" vertical="center"/>
    </xf>
    <xf numFmtId="164" fontId="12" fillId="7" borderId="30" xfId="0" applyNumberFormat="1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4" fontId="14" fillId="8" borderId="17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2" fontId="0" fillId="6" borderId="6" xfId="0" applyNumberFormat="1" applyFill="1" applyBorder="1" applyAlignment="1">
      <alignment horizontal="center" vertical="center"/>
    </xf>
    <xf numFmtId="164" fontId="0" fillId="6" borderId="6" xfId="0" applyNumberFormat="1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64" fontId="0" fillId="7" borderId="9" xfId="0" applyNumberFormat="1" applyFill="1" applyBorder="1" applyAlignment="1">
      <alignment horizontal="center" vertical="center"/>
    </xf>
    <xf numFmtId="164" fontId="6" fillId="8" borderId="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164" fontId="0" fillId="7" borderId="12" xfId="0" applyNumberFormat="1" applyFill="1" applyBorder="1" applyAlignment="1">
      <alignment horizontal="center" vertical="center"/>
    </xf>
    <xf numFmtId="164" fontId="0" fillId="7" borderId="14" xfId="0" applyNumberFormat="1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2" fillId="7" borderId="14" xfId="0" applyNumberFormat="1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7" fontId="1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6" fillId="0" borderId="0" xfId="0" applyFont="1"/>
    <xf numFmtId="0" fontId="6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/>
    <xf numFmtId="0" fontId="6" fillId="3" borderId="0" xfId="0" applyFont="1" applyFill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8" xfId="0" applyBorder="1"/>
    <xf numFmtId="0" fontId="12" fillId="3" borderId="5" xfId="0" applyFont="1" applyFill="1" applyBorder="1" applyAlignment="1">
      <alignment horizontal="center" vertical="center"/>
    </xf>
    <xf numFmtId="0" fontId="0" fillId="0" borderId="5" xfId="0" applyBorder="1"/>
    <xf numFmtId="0" fontId="12" fillId="0" borderId="0" xfId="0" applyFont="1" applyAlignment="1">
      <alignment horizontal="center" vertical="center"/>
    </xf>
    <xf numFmtId="0" fontId="12" fillId="0" borderId="5" xfId="0" applyFont="1" applyBorder="1"/>
    <xf numFmtId="0" fontId="13" fillId="0" borderId="7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0" borderId="0" xfId="0" applyFont="1"/>
    <xf numFmtId="0" fontId="13" fillId="0" borderId="24" xfId="0" applyFont="1" applyBorder="1" applyAlignment="1">
      <alignment horizontal="center" vertical="center"/>
    </xf>
    <xf numFmtId="0" fontId="0" fillId="0" borderId="18" xfId="0" applyBorder="1"/>
    <xf numFmtId="0" fontId="14" fillId="0" borderId="26" xfId="0" applyFont="1" applyBorder="1" applyAlignment="1">
      <alignment horizontal="center" vertical="center"/>
    </xf>
    <xf numFmtId="0" fontId="0" fillId="0" borderId="17" xfId="0" applyBorder="1"/>
    <xf numFmtId="0" fontId="1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0" borderId="10" xfId="0" applyBorder="1"/>
    <xf numFmtId="0" fontId="13" fillId="0" borderId="2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23" xfId="0" applyBorder="1"/>
    <xf numFmtId="0" fontId="13" fillId="0" borderId="27" xfId="0" applyFont="1" applyBorder="1" applyAlignment="1">
      <alignment horizontal="center" vertical="center"/>
    </xf>
    <xf numFmtId="0" fontId="0" fillId="0" borderId="21" xfId="0" applyBorder="1"/>
    <xf numFmtId="0" fontId="0" fillId="7" borderId="2" xfId="0" applyFill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2"/>
  <sheetViews>
    <sheetView showGridLines="0" tabSelected="1" workbookViewId="0">
      <selection activeCell="I10" sqref="I10"/>
    </sheetView>
  </sheetViews>
  <sheetFormatPr defaultRowHeight="15" x14ac:dyDescent="0.25"/>
  <cols>
    <col min="1" max="1" width="20" style="87" customWidth="1"/>
    <col min="2" max="2" width="12" style="79" customWidth="1"/>
    <col min="3" max="3" width="13" style="79" customWidth="1"/>
    <col min="4" max="4" width="9.5703125" style="79" bestFit="1" customWidth="1"/>
    <col min="5" max="6" width="11" style="79" customWidth="1"/>
    <col min="7" max="7" width="11" style="79" bestFit="1" customWidth="1"/>
    <col min="8" max="8" width="10" style="79" customWidth="1"/>
    <col min="9" max="9" width="12.85546875" style="79" bestFit="1" customWidth="1"/>
    <col min="10" max="10" width="12.42578125" style="79" bestFit="1" customWidth="1"/>
    <col min="11" max="11" width="13" style="79" customWidth="1"/>
    <col min="12" max="12" width="11" style="79" customWidth="1"/>
    <col min="13" max="13" width="9" style="79" customWidth="1"/>
    <col min="14" max="14" width="10" style="79" customWidth="1"/>
    <col min="15" max="15" width="9" style="79" customWidth="1"/>
    <col min="16" max="16" width="8" style="79" customWidth="1"/>
    <col min="17" max="17" width="9" style="79" customWidth="1"/>
    <col min="18" max="18" width="14" style="79" customWidth="1"/>
    <col min="19" max="19" width="16" style="79" customWidth="1"/>
    <col min="20" max="24" width="9.140625" style="79" customWidth="1"/>
    <col min="55" max="57" width="13" style="87" hidden="1" customWidth="1"/>
  </cols>
  <sheetData>
    <row r="1" spans="1:57" ht="17.25" customHeight="1" x14ac:dyDescent="0.3">
      <c r="A1" s="1" t="s">
        <v>0</v>
      </c>
      <c r="BC1" t="s">
        <v>1</v>
      </c>
      <c r="BD1" t="s">
        <v>2</v>
      </c>
      <c r="BE1" t="s">
        <v>3</v>
      </c>
    </row>
    <row r="2" spans="1:57" x14ac:dyDescent="0.25">
      <c r="A2" s="86" t="s">
        <v>4</v>
      </c>
      <c r="BC2" t="s">
        <v>5</v>
      </c>
      <c r="BD2" t="s">
        <v>6</v>
      </c>
      <c r="BE2" t="s">
        <v>7</v>
      </c>
    </row>
    <row r="3" spans="1:57" x14ac:dyDescent="0.25">
      <c r="A3" s="2" t="s">
        <v>8</v>
      </c>
      <c r="BC3" t="s">
        <v>9</v>
      </c>
      <c r="BD3" t="s">
        <v>10</v>
      </c>
      <c r="BE3" t="s">
        <v>11</v>
      </c>
    </row>
    <row r="4" spans="1:57" x14ac:dyDescent="0.25">
      <c r="A4" s="3" t="s">
        <v>12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BC4" t="s">
        <v>13</v>
      </c>
      <c r="BD4" t="s">
        <v>14</v>
      </c>
      <c r="BE4" t="s">
        <v>15</v>
      </c>
    </row>
    <row r="5" spans="1:57" x14ac:dyDescent="0.25">
      <c r="A5" s="86" t="s">
        <v>16</v>
      </c>
      <c r="B5" s="22" t="s">
        <v>17</v>
      </c>
      <c r="C5" s="78" t="s">
        <v>18</v>
      </c>
      <c r="D5" s="22" t="s">
        <v>374</v>
      </c>
      <c r="E5" s="78" t="s">
        <v>19</v>
      </c>
      <c r="F5" s="77">
        <v>46277</v>
      </c>
      <c r="G5" s="78" t="s">
        <v>20</v>
      </c>
      <c r="H5" s="51">
        <v>2.68</v>
      </c>
      <c r="I5" s="78" t="s">
        <v>21</v>
      </c>
      <c r="J5" s="22" t="s">
        <v>22</v>
      </c>
      <c r="K5" s="88" t="s">
        <v>23</v>
      </c>
      <c r="L5" s="89"/>
      <c r="M5" s="89"/>
      <c r="N5" s="89"/>
      <c r="O5" s="89"/>
      <c r="P5" s="89"/>
      <c r="Q5" s="89"/>
      <c r="R5" s="89"/>
      <c r="S5" s="89"/>
      <c r="BC5" t="s">
        <v>24</v>
      </c>
      <c r="BD5" t="s">
        <v>25</v>
      </c>
      <c r="BE5" t="s">
        <v>26</v>
      </c>
    </row>
    <row r="6" spans="1:57" x14ac:dyDescent="0.25">
      <c r="BC6" t="s">
        <v>27</v>
      </c>
      <c r="BE6" t="s">
        <v>28</v>
      </c>
    </row>
    <row r="7" spans="1:57" ht="16.5" customHeight="1" thickBot="1" x14ac:dyDescent="0.3">
      <c r="A7" s="4" t="s">
        <v>29</v>
      </c>
      <c r="B7" s="83" t="s">
        <v>30</v>
      </c>
      <c r="C7" s="92" t="s">
        <v>367</v>
      </c>
      <c r="D7" s="89"/>
      <c r="E7" s="89"/>
      <c r="F7" s="89"/>
      <c r="G7" s="89"/>
      <c r="H7" s="89"/>
      <c r="I7" s="101" t="s">
        <v>31</v>
      </c>
      <c r="J7" s="89"/>
      <c r="K7" s="95" t="s">
        <v>368</v>
      </c>
      <c r="L7" s="89"/>
      <c r="M7" s="89"/>
      <c r="N7" s="89"/>
      <c r="O7" s="89"/>
      <c r="P7" s="89"/>
      <c r="Q7" s="89"/>
      <c r="R7" s="89"/>
      <c r="S7" s="96"/>
      <c r="BC7" t="s">
        <v>32</v>
      </c>
      <c r="BE7" t="s">
        <v>33</v>
      </c>
    </row>
    <row r="8" spans="1:57" ht="15.75" customHeight="1" thickBot="1" x14ac:dyDescent="0.3">
      <c r="A8" s="108" t="s">
        <v>34</v>
      </c>
      <c r="B8" s="89"/>
      <c r="C8" s="89"/>
      <c r="D8" s="52">
        <v>1.35</v>
      </c>
      <c r="E8" s="88" t="s">
        <v>35</v>
      </c>
      <c r="F8" s="89"/>
      <c r="G8" s="53"/>
      <c r="H8" s="88" t="s">
        <v>36</v>
      </c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BC8" t="s">
        <v>37</v>
      </c>
      <c r="BE8" t="s">
        <v>38</v>
      </c>
    </row>
    <row r="9" spans="1:57" ht="30" customHeight="1" x14ac:dyDescent="0.25">
      <c r="A9" s="24" t="s">
        <v>39</v>
      </c>
      <c r="B9" s="24" t="s">
        <v>40</v>
      </c>
      <c r="C9" s="24" t="s">
        <v>41</v>
      </c>
      <c r="D9" s="24" t="s">
        <v>42</v>
      </c>
      <c r="E9" s="24" t="s">
        <v>43</v>
      </c>
      <c r="F9" s="24" t="s">
        <v>44</v>
      </c>
      <c r="G9" s="24" t="s">
        <v>45</v>
      </c>
      <c r="H9" s="24" t="s">
        <v>46</v>
      </c>
      <c r="I9" s="24" t="s">
        <v>47</v>
      </c>
      <c r="J9" s="24" t="s">
        <v>48</v>
      </c>
      <c r="K9" s="24" t="s">
        <v>49</v>
      </c>
      <c r="L9" s="24" t="s">
        <v>50</v>
      </c>
      <c r="M9" s="24" t="s">
        <v>51</v>
      </c>
      <c r="N9" s="24" t="s">
        <v>52</v>
      </c>
      <c r="O9" s="24" t="s">
        <v>53</v>
      </c>
      <c r="P9" s="24" t="s">
        <v>54</v>
      </c>
      <c r="Q9" s="24" t="s">
        <v>55</v>
      </c>
      <c r="R9" s="24" t="s">
        <v>56</v>
      </c>
      <c r="S9" s="24" t="s">
        <v>57</v>
      </c>
      <c r="BC9" t="s">
        <v>58</v>
      </c>
      <c r="BE9" t="s">
        <v>59</v>
      </c>
    </row>
    <row r="10" spans="1:57" x14ac:dyDescent="0.25">
      <c r="A10" s="6" t="s">
        <v>24</v>
      </c>
      <c r="B10" s="54">
        <v>6.5</v>
      </c>
      <c r="C10" s="54" t="s">
        <v>369</v>
      </c>
      <c r="D10" s="55">
        <v>1.1200000000000001</v>
      </c>
      <c r="E10" s="55">
        <v>1.1000000000000001</v>
      </c>
      <c r="F10" s="55">
        <v>6.3</v>
      </c>
      <c r="G10" s="56">
        <v>0.89</v>
      </c>
      <c r="H10" s="57">
        <f>IF(N(G10)&gt;0,G10,IF(N(D10)&gt;0,1/D10,""))</f>
        <v>0.89</v>
      </c>
      <c r="I10" s="57">
        <f>IF(N(E10)=0,"",IF(N(F10)&gt;=Parametros!$B$3,(1/E10)/((1/E10)+(1/F10)),1/E10))</f>
        <v>0.85135135135135132</v>
      </c>
      <c r="J10" s="57">
        <f>IF(OR(H10="",I10=""),"",I10+Parametros!$B$4*(H10-I10))</f>
        <v>0.87840540540540535</v>
      </c>
      <c r="K10" s="57">
        <f t="shared" ref="K10:K17" si="0">IF(N(E10)=0,"",1/E10)</f>
        <v>0.90909090909090906</v>
      </c>
      <c r="L10" s="57">
        <f t="shared" ref="L10:L17" si="1">IF(OR(N(E10)=0,N(F10)=0),"",1/E10+1/F10-1)</f>
        <v>6.7821067821067782E-2</v>
      </c>
      <c r="M10" s="57">
        <f t="shared" ref="M10:M17" si="2">IF(OR(H10="",N(E10)=0),"",H10*E10-1)</f>
        <v>-2.0999999999999908E-2</v>
      </c>
      <c r="N10" s="57">
        <f t="shared" ref="N10:N17" si="3">IF(OR(J10="",N(E10)=0),"",J10*E10-1)</f>
        <v>-3.3754054054054072E-2</v>
      </c>
      <c r="O10" s="57">
        <f t="shared" ref="O10:O17" si="4">IF(OR(H10="",I10=""),"",H10-I10)</f>
        <v>3.8648648648648698E-2</v>
      </c>
      <c r="P10" s="58" t="str">
        <f t="shared" ref="P10:P17" si="5">IF(O10="","",IF(ABS(O10)&gt;0.1,"ALTA",IF(ABS(O10)&gt;0.05,"média","")))</f>
        <v/>
      </c>
      <c r="Q10" s="58" t="str">
        <f t="shared" ref="Q10:Q17" si="6">IF(AND(N(D10)&gt;0,N(G10)&gt;0),IF(ABS(1/D10-G10)&gt;0.01,"D≠G ⚠","ok"),"")</f>
        <v>ok</v>
      </c>
      <c r="R10" s="54" t="s">
        <v>26</v>
      </c>
      <c r="S10" s="54" t="s">
        <v>6</v>
      </c>
      <c r="BC10" t="s">
        <v>60</v>
      </c>
      <c r="BE10" t="s">
        <v>61</v>
      </c>
    </row>
    <row r="11" spans="1:57" x14ac:dyDescent="0.25">
      <c r="A11" s="6" t="s">
        <v>5</v>
      </c>
      <c r="B11" s="54" t="s">
        <v>370</v>
      </c>
      <c r="C11" s="54" t="s">
        <v>369</v>
      </c>
      <c r="D11" s="55">
        <v>1.22</v>
      </c>
      <c r="E11" s="55">
        <v>1.22</v>
      </c>
      <c r="F11" s="55">
        <v>4</v>
      </c>
      <c r="G11" s="56">
        <v>0.82</v>
      </c>
      <c r="H11" s="57">
        <f t="shared" ref="H10:H17" si="7">IF(N(G11)&gt;0,G11,IF(N(D11)&gt;0,1/D11,""))</f>
        <v>0.82</v>
      </c>
      <c r="I11" s="57">
        <f>IF(N(E11)=0,"",IF(N(F11)&gt;=Parametros!$B$3,(1/E11)/((1/E11)+(1/F11)),1/E11))</f>
        <v>0.76628352490421459</v>
      </c>
      <c r="J11" s="57">
        <f>IF(OR(H11="",I11=""),"",I11+Parametros!$B$4*(H11-I11))</f>
        <v>0.80388505747126437</v>
      </c>
      <c r="K11" s="57">
        <f t="shared" si="0"/>
        <v>0.81967213114754101</v>
      </c>
      <c r="L11" s="57">
        <f t="shared" si="1"/>
        <v>6.9672131147541005E-2</v>
      </c>
      <c r="M11" s="57">
        <f t="shared" si="2"/>
        <v>3.9999999999995595E-4</v>
      </c>
      <c r="N11" s="57">
        <f t="shared" si="3"/>
        <v>-1.9260229885057489E-2</v>
      </c>
      <c r="O11" s="57">
        <f t="shared" si="4"/>
        <v>5.3716475095785365E-2</v>
      </c>
      <c r="P11" s="58" t="str">
        <f t="shared" si="5"/>
        <v>média</v>
      </c>
      <c r="Q11" s="58" t="str">
        <f t="shared" si="6"/>
        <v>ok</v>
      </c>
      <c r="R11" s="54" t="s">
        <v>7</v>
      </c>
      <c r="S11" s="54" t="s">
        <v>10</v>
      </c>
      <c r="BC11" t="s">
        <v>62</v>
      </c>
      <c r="BE11" t="s">
        <v>63</v>
      </c>
    </row>
    <row r="12" spans="1:57" x14ac:dyDescent="0.25">
      <c r="A12" s="6"/>
      <c r="B12" s="54"/>
      <c r="C12" s="54"/>
      <c r="D12" s="55"/>
      <c r="E12" s="55"/>
      <c r="F12" s="55"/>
      <c r="G12" s="56"/>
      <c r="H12" s="57" t="str">
        <f t="shared" si="7"/>
        <v/>
      </c>
      <c r="I12" s="57" t="str">
        <f>IF(N(E12)=0,"",IF(N(F12)&gt;=Parametros!$B$3,(1/E12)/((1/E12)+(1/F12)),1/E12))</f>
        <v/>
      </c>
      <c r="J12" s="57" t="str">
        <f>IF(OR(H12="",I12=""),"",I12+Parametros!$B$4*(H12-I12))</f>
        <v/>
      </c>
      <c r="K12" s="57" t="str">
        <f t="shared" si="0"/>
        <v/>
      </c>
      <c r="L12" s="57" t="str">
        <f t="shared" si="1"/>
        <v/>
      </c>
      <c r="M12" s="57" t="str">
        <f t="shared" si="2"/>
        <v/>
      </c>
      <c r="N12" s="57" t="str">
        <f t="shared" si="3"/>
        <v/>
      </c>
      <c r="O12" s="57" t="str">
        <f t="shared" si="4"/>
        <v/>
      </c>
      <c r="P12" s="58" t="str">
        <f t="shared" si="5"/>
        <v/>
      </c>
      <c r="Q12" s="58" t="str">
        <f t="shared" si="6"/>
        <v/>
      </c>
      <c r="R12" s="54"/>
      <c r="S12" s="54"/>
      <c r="BC12" t="s">
        <v>64</v>
      </c>
      <c r="BE12" t="s">
        <v>65</v>
      </c>
    </row>
    <row r="13" spans="1:57" x14ac:dyDescent="0.25">
      <c r="A13" s="6"/>
      <c r="B13" s="54"/>
      <c r="C13" s="54"/>
      <c r="D13" s="55"/>
      <c r="E13" s="55"/>
      <c r="F13" s="55"/>
      <c r="G13" s="56"/>
      <c r="H13" s="57" t="str">
        <f t="shared" si="7"/>
        <v/>
      </c>
      <c r="I13" s="57" t="str">
        <f>IF(N(E13)=0,"",IF(N(F13)&gt;=Parametros!$B$3,(1/E13)/((1/E13)+(1/F13)),1/E13))</f>
        <v/>
      </c>
      <c r="J13" s="57" t="str">
        <f>IF(OR(H13="",I13=""),"",I13+Parametros!$B$4*(H13-I13))</f>
        <v/>
      </c>
      <c r="K13" s="57" t="str">
        <f t="shared" si="0"/>
        <v/>
      </c>
      <c r="L13" s="57" t="str">
        <f t="shared" si="1"/>
        <v/>
      </c>
      <c r="M13" s="57" t="str">
        <f t="shared" si="2"/>
        <v/>
      </c>
      <c r="N13" s="57" t="str">
        <f t="shared" si="3"/>
        <v/>
      </c>
      <c r="O13" s="57" t="str">
        <f t="shared" si="4"/>
        <v/>
      </c>
      <c r="P13" s="58" t="str">
        <f t="shared" si="5"/>
        <v/>
      </c>
      <c r="Q13" s="58" t="str">
        <f t="shared" si="6"/>
        <v/>
      </c>
      <c r="R13" s="54"/>
      <c r="S13" s="54"/>
      <c r="BC13" t="s">
        <v>66</v>
      </c>
      <c r="BE13" t="s">
        <v>67</v>
      </c>
    </row>
    <row r="14" spans="1:57" x14ac:dyDescent="0.25">
      <c r="A14" s="6"/>
      <c r="B14" s="54"/>
      <c r="C14" s="54"/>
      <c r="D14" s="55"/>
      <c r="E14" s="55"/>
      <c r="F14" s="55"/>
      <c r="G14" s="56"/>
      <c r="H14" s="57" t="str">
        <f t="shared" si="7"/>
        <v/>
      </c>
      <c r="I14" s="57" t="str">
        <f>IF(N(E14)=0,"",IF(N(F14)&gt;=Parametros!$B$3,(1/E14)/((1/E14)+(1/F14)),1/E14))</f>
        <v/>
      </c>
      <c r="J14" s="57" t="str">
        <f>IF(OR(H14="",I14=""),"",I14+Parametros!$B$4*(H14-I14))</f>
        <v/>
      </c>
      <c r="K14" s="57" t="str">
        <f t="shared" si="0"/>
        <v/>
      </c>
      <c r="L14" s="57" t="str">
        <f t="shared" si="1"/>
        <v/>
      </c>
      <c r="M14" s="57" t="str">
        <f t="shared" si="2"/>
        <v/>
      </c>
      <c r="N14" s="57" t="str">
        <f t="shared" si="3"/>
        <v/>
      </c>
      <c r="O14" s="57" t="str">
        <f t="shared" si="4"/>
        <v/>
      </c>
      <c r="P14" s="58" t="str">
        <f t="shared" si="5"/>
        <v/>
      </c>
      <c r="Q14" s="58" t="str">
        <f t="shared" si="6"/>
        <v/>
      </c>
      <c r="R14" s="54"/>
      <c r="S14" s="54"/>
      <c r="BC14" t="s">
        <v>68</v>
      </c>
      <c r="BE14" t="s">
        <v>69</v>
      </c>
    </row>
    <row r="15" spans="1:57" x14ac:dyDescent="0.25">
      <c r="A15" s="6"/>
      <c r="B15" s="54"/>
      <c r="C15" s="54"/>
      <c r="D15" s="55"/>
      <c r="E15" s="55"/>
      <c r="F15" s="55"/>
      <c r="G15" s="56"/>
      <c r="H15" s="57" t="str">
        <f t="shared" si="7"/>
        <v/>
      </c>
      <c r="I15" s="57" t="str">
        <f>IF(N(E15)=0,"",IF(N(F15)&gt;=Parametros!$B$3,(1/E15)/((1/E15)+(1/F15)),1/E15))</f>
        <v/>
      </c>
      <c r="J15" s="57" t="str">
        <f>IF(OR(H15="",I15=""),"",I15+Parametros!$B$4*(H15-I15))</f>
        <v/>
      </c>
      <c r="K15" s="57" t="str">
        <f t="shared" si="0"/>
        <v/>
      </c>
      <c r="L15" s="57" t="str">
        <f t="shared" si="1"/>
        <v/>
      </c>
      <c r="M15" s="57" t="str">
        <f t="shared" si="2"/>
        <v/>
      </c>
      <c r="N15" s="57" t="str">
        <f t="shared" si="3"/>
        <v/>
      </c>
      <c r="O15" s="57" t="str">
        <f t="shared" si="4"/>
        <v/>
      </c>
      <c r="P15" s="58" t="str">
        <f t="shared" si="5"/>
        <v/>
      </c>
      <c r="Q15" s="58" t="str">
        <f t="shared" si="6"/>
        <v/>
      </c>
      <c r="R15" s="54"/>
      <c r="S15" s="54"/>
      <c r="BC15" t="s">
        <v>70</v>
      </c>
      <c r="BE15" t="s">
        <v>71</v>
      </c>
    </row>
    <row r="16" spans="1:57" x14ac:dyDescent="0.25">
      <c r="A16" s="6"/>
      <c r="B16" s="54"/>
      <c r="C16" s="54"/>
      <c r="D16" s="55"/>
      <c r="E16" s="55"/>
      <c r="F16" s="55"/>
      <c r="G16" s="56"/>
      <c r="H16" s="57" t="str">
        <f t="shared" si="7"/>
        <v/>
      </c>
      <c r="I16" s="57" t="str">
        <f>IF(N(E16)=0,"",IF(N(F16)&gt;=Parametros!$B$3,(1/E16)/((1/E16)+(1/F16)),1/E16))</f>
        <v/>
      </c>
      <c r="J16" s="57" t="str">
        <f>IF(OR(H16="",I16=""),"",I16+Parametros!$B$4*(H16-I16))</f>
        <v/>
      </c>
      <c r="K16" s="57" t="str">
        <f t="shared" si="0"/>
        <v/>
      </c>
      <c r="L16" s="57" t="str">
        <f t="shared" si="1"/>
        <v/>
      </c>
      <c r="M16" s="57" t="str">
        <f t="shared" si="2"/>
        <v/>
      </c>
      <c r="N16" s="57" t="str">
        <f t="shared" si="3"/>
        <v/>
      </c>
      <c r="O16" s="57" t="str">
        <f t="shared" si="4"/>
        <v/>
      </c>
      <c r="P16" s="58" t="str">
        <f t="shared" si="5"/>
        <v/>
      </c>
      <c r="Q16" s="58" t="str">
        <f t="shared" si="6"/>
        <v/>
      </c>
      <c r="R16" s="54"/>
      <c r="S16" s="54"/>
      <c r="BC16" t="s">
        <v>72</v>
      </c>
      <c r="BE16" t="s">
        <v>73</v>
      </c>
    </row>
    <row r="17" spans="1:57" ht="15.75" customHeight="1" thickBot="1" x14ac:dyDescent="0.3">
      <c r="A17" s="19"/>
      <c r="B17" s="59"/>
      <c r="C17" s="59"/>
      <c r="D17" s="60"/>
      <c r="E17" s="60"/>
      <c r="F17" s="60"/>
      <c r="G17" s="61"/>
      <c r="H17" s="62" t="str">
        <f t="shared" si="7"/>
        <v/>
      </c>
      <c r="I17" s="62" t="str">
        <f>IF(N(E17)=0,"",IF(N(F17)&gt;=Parametros!$B$3,(1/E17)/((1/E17)+(1/F17)),1/E17))</f>
        <v/>
      </c>
      <c r="J17" s="62" t="str">
        <f>IF(OR(H17="",I17=""),"",I17+Parametros!$B$4*(H17-I17))</f>
        <v/>
      </c>
      <c r="K17" s="62" t="str">
        <f t="shared" si="0"/>
        <v/>
      </c>
      <c r="L17" s="62" t="str">
        <f t="shared" si="1"/>
        <v/>
      </c>
      <c r="M17" s="62" t="str">
        <f t="shared" si="2"/>
        <v/>
      </c>
      <c r="N17" s="62" t="str">
        <f t="shared" si="3"/>
        <v/>
      </c>
      <c r="O17" s="62" t="str">
        <f t="shared" si="4"/>
        <v/>
      </c>
      <c r="P17" s="63" t="str">
        <f t="shared" si="5"/>
        <v/>
      </c>
      <c r="Q17" s="63" t="str">
        <f t="shared" si="6"/>
        <v/>
      </c>
      <c r="R17" s="59"/>
      <c r="S17" s="59"/>
      <c r="BC17" t="s">
        <v>74</v>
      </c>
      <c r="BE17" t="s">
        <v>75</v>
      </c>
    </row>
    <row r="18" spans="1:57" ht="15.75" customHeight="1" thickBot="1" x14ac:dyDescent="0.3">
      <c r="A18" s="114" t="s">
        <v>76</v>
      </c>
      <c r="B18" s="23" t="s">
        <v>77</v>
      </c>
      <c r="C18" s="64">
        <f>IF(COUNT(H10:H17)=0,"",PRODUCT(H10:H17))</f>
        <v>0.7298</v>
      </c>
      <c r="D18" s="99" t="s">
        <v>78</v>
      </c>
      <c r="E18" s="94"/>
      <c r="F18" s="64">
        <f>IF(N(D8)&gt;0,1/D8,"")</f>
        <v>0.7407407407407407</v>
      </c>
      <c r="G18" s="113" t="s">
        <v>79</v>
      </c>
      <c r="H18" s="94"/>
      <c r="I18" s="65">
        <f>IF(N(G8)&gt;0,G8,IF(N(D8)&gt;0,1/D8,IF(COUNT(H10:H17)=0,"",PRODUCT(H10:H17))))</f>
        <v>0.7407407407407407</v>
      </c>
      <c r="J18" s="23" t="s">
        <v>80</v>
      </c>
      <c r="K18" s="21">
        <f>COUNT(H10:H17)</f>
        <v>2</v>
      </c>
      <c r="L18" s="66" t="str">
        <f>IF(AND(COUNT(H10:H17)&gt;1,N(G8)=0,N(D8)=0),"⚠ 2+ pernas do mesmo jogo sem odd final: o 'produto' está errado — "&amp;"digite a Odd Criar Aposta em D8 (ou o Joint Simulador em G8)","")</f>
        <v/>
      </c>
      <c r="BC18" t="s">
        <v>81</v>
      </c>
      <c r="BE18" t="s">
        <v>82</v>
      </c>
    </row>
    <row r="19" spans="1:57" ht="15.75" customHeight="1" thickBot="1" x14ac:dyDescent="0.3">
      <c r="A19" s="111"/>
      <c r="B19" s="85" t="s">
        <v>83</v>
      </c>
      <c r="C19" s="20">
        <f>IF(COUNT(E10:E17)=0,"",PRODUCT(E10:E17))</f>
        <v>1.3420000000000001</v>
      </c>
      <c r="D19" s="115" t="s">
        <v>84</v>
      </c>
      <c r="E19" s="91"/>
      <c r="F19" s="20">
        <f>IF(N(D8)&gt;0,D8,"")</f>
        <v>1.35</v>
      </c>
      <c r="G19" s="80" t="s">
        <v>85</v>
      </c>
      <c r="H19" s="67">
        <f>IF(AND(N(D8)&gt;0,COUNT(E10:E17)&gt;0),D8/PRODUCT(E10:E17)-1,"")</f>
        <v>5.9612518628913147E-3</v>
      </c>
      <c r="I19" s="90" t="s">
        <v>86</v>
      </c>
      <c r="J19" s="91"/>
      <c r="K19" s="68">
        <f>IF(COUNT(I10:I17)=0,"",PRODUCT(I10:I17))</f>
        <v>0.65237651444547995</v>
      </c>
      <c r="L19" s="116" t="s">
        <v>87</v>
      </c>
      <c r="M19" s="117"/>
      <c r="N19" s="69">
        <f>IF(COUNT(J10:J17)=0,"",PRODUCT(J10:J17))</f>
        <v>0.70613697980739354</v>
      </c>
      <c r="O19" s="78" t="s">
        <v>88</v>
      </c>
      <c r="BC19" t="s">
        <v>89</v>
      </c>
      <c r="BE19" t="s">
        <v>90</v>
      </c>
    </row>
    <row r="20" spans="1:57" x14ac:dyDescent="0.25">
      <c r="B20" s="78"/>
      <c r="C20" s="78"/>
      <c r="D20" s="78"/>
      <c r="E20" s="78"/>
      <c r="F20" s="78"/>
      <c r="G20" s="78"/>
      <c r="H20" s="78"/>
      <c r="I20" s="70"/>
      <c r="J20" s="78"/>
      <c r="K20" s="78"/>
      <c r="L20" s="78"/>
      <c r="BC20" t="s">
        <v>91</v>
      </c>
      <c r="BE20" t="s">
        <v>92</v>
      </c>
    </row>
    <row r="21" spans="1:57" ht="16.5" customHeight="1" thickBot="1" x14ac:dyDescent="0.3">
      <c r="A21" s="4" t="s">
        <v>93</v>
      </c>
      <c r="B21" s="83" t="s">
        <v>30</v>
      </c>
      <c r="C21" s="92" t="s">
        <v>371</v>
      </c>
      <c r="D21" s="89"/>
      <c r="E21" s="89"/>
      <c r="F21" s="89"/>
      <c r="G21" s="89"/>
      <c r="H21" s="89"/>
      <c r="I21" s="101" t="s">
        <v>31</v>
      </c>
      <c r="J21" s="89"/>
      <c r="K21" s="95" t="s">
        <v>368</v>
      </c>
      <c r="L21" s="89"/>
      <c r="M21" s="89"/>
      <c r="N21" s="89"/>
      <c r="O21" s="89"/>
      <c r="P21" s="89"/>
      <c r="Q21" s="89"/>
      <c r="R21" s="89"/>
      <c r="S21" s="96"/>
      <c r="BC21" t="s">
        <v>94</v>
      </c>
      <c r="BE21" t="s">
        <v>95</v>
      </c>
    </row>
    <row r="22" spans="1:57" ht="15.75" customHeight="1" thickBot="1" x14ac:dyDescent="0.3">
      <c r="A22" s="109" t="s">
        <v>34</v>
      </c>
      <c r="B22" s="89"/>
      <c r="C22" s="89"/>
      <c r="D22" s="52">
        <v>1.55</v>
      </c>
      <c r="E22" s="88" t="s">
        <v>35</v>
      </c>
      <c r="F22" s="89"/>
      <c r="G22" s="53"/>
      <c r="H22" s="88" t="s">
        <v>36</v>
      </c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BC22" t="s">
        <v>96</v>
      </c>
      <c r="BE22" t="s">
        <v>97</v>
      </c>
    </row>
    <row r="23" spans="1:57" ht="30" customHeight="1" x14ac:dyDescent="0.25">
      <c r="A23" s="5" t="s">
        <v>39</v>
      </c>
      <c r="B23" s="24" t="s">
        <v>40</v>
      </c>
      <c r="C23" s="24" t="s">
        <v>41</v>
      </c>
      <c r="D23" s="24" t="s">
        <v>42</v>
      </c>
      <c r="E23" s="24" t="s">
        <v>43</v>
      </c>
      <c r="F23" s="24" t="s">
        <v>44</v>
      </c>
      <c r="G23" s="24" t="s">
        <v>45</v>
      </c>
      <c r="H23" s="24" t="s">
        <v>46</v>
      </c>
      <c r="I23" s="24" t="s">
        <v>47</v>
      </c>
      <c r="J23" s="24" t="s">
        <v>48</v>
      </c>
      <c r="K23" s="24" t="s">
        <v>49</v>
      </c>
      <c r="L23" s="24" t="s">
        <v>50</v>
      </c>
      <c r="M23" s="24" t="s">
        <v>51</v>
      </c>
      <c r="N23" s="24" t="s">
        <v>52</v>
      </c>
      <c r="O23" s="24" t="s">
        <v>53</v>
      </c>
      <c r="P23" s="24" t="s">
        <v>54</v>
      </c>
      <c r="Q23" s="24" t="s">
        <v>55</v>
      </c>
      <c r="R23" s="24" t="s">
        <v>56</v>
      </c>
      <c r="S23" s="24" t="s">
        <v>57</v>
      </c>
      <c r="BC23" t="s">
        <v>98</v>
      </c>
      <c r="BE23" t="s">
        <v>99</v>
      </c>
    </row>
    <row r="24" spans="1:57" x14ac:dyDescent="0.25">
      <c r="A24" s="6" t="s">
        <v>5</v>
      </c>
      <c r="B24" s="54" t="s">
        <v>372</v>
      </c>
      <c r="C24" s="54" t="s">
        <v>369</v>
      </c>
      <c r="D24" s="55">
        <v>1.1599999999999999</v>
      </c>
      <c r="E24" s="55">
        <v>1.27</v>
      </c>
      <c r="F24" s="55">
        <v>3.8</v>
      </c>
      <c r="G24" s="56">
        <v>0.86</v>
      </c>
      <c r="H24" s="57">
        <f t="shared" ref="H24:H31" si="8">IF(N(G24)&gt;0,G24,IF(N(D24)&gt;0,1/D24,""))</f>
        <v>0.86</v>
      </c>
      <c r="I24" s="57">
        <f>IF(N(E24)=0,"",IF(N(F24)&gt;=Parametros!$B$3,(1/E24)/((1/E24)+(1/F24)),1/E24))</f>
        <v>0.74950690335305725</v>
      </c>
      <c r="J24" s="57">
        <f>IF(OR(H24="",I24=""),"",I24+Parametros!$B$4*(H24-I24))</f>
        <v>0.82685207100591718</v>
      </c>
      <c r="K24" s="57">
        <f t="shared" ref="K24:K31" si="9">IF(N(E24)=0,"",1/E24)</f>
        <v>0.78740157480314954</v>
      </c>
      <c r="L24" s="57">
        <f t="shared" ref="L24:L31" si="10">IF(OR(N(E24)=0,N(F24)=0),"",1/E24+1/F24-1)</f>
        <v>5.0559469539991575E-2</v>
      </c>
      <c r="M24" s="57">
        <f t="shared" ref="M24:M31" si="11">IF(OR(H24="",N(E24)=0),"",H24*E24-1)</f>
        <v>9.220000000000006E-2</v>
      </c>
      <c r="N24" s="57">
        <f t="shared" ref="N24:N31" si="12">IF(OR(J24="",N(E24)=0),"",J24*E24-1)</f>
        <v>5.0102130177514859E-2</v>
      </c>
      <c r="O24" s="57">
        <f t="shared" ref="O24:O31" si="13">IF(OR(H24="",I24=""),"",H24-I24)</f>
        <v>0.11049309664694273</v>
      </c>
      <c r="P24" s="58" t="str">
        <f t="shared" ref="P24:P31" si="14">IF(O24="","",IF(ABS(O24)&gt;0.1,"ALTA",IF(ABS(O24)&gt;0.05,"média","")))</f>
        <v>ALTA</v>
      </c>
      <c r="Q24" s="58" t="str">
        <f t="shared" ref="Q24:Q31" si="15">IF(AND(N(D24)&gt;0,N(G24)&gt;0),IF(ABS(1/D24-G24)&gt;0.01,"D≠G ⚠","ok"),"")</f>
        <v>ok</v>
      </c>
      <c r="R24" s="54" t="s">
        <v>7</v>
      </c>
      <c r="S24" s="54" t="s">
        <v>6</v>
      </c>
      <c r="BC24" t="s">
        <v>100</v>
      </c>
      <c r="BE24" t="s">
        <v>101</v>
      </c>
    </row>
    <row r="25" spans="1:57" x14ac:dyDescent="0.25">
      <c r="A25" s="6" t="s">
        <v>37</v>
      </c>
      <c r="B25" s="54" t="s">
        <v>373</v>
      </c>
      <c r="C25" s="54" t="s">
        <v>369</v>
      </c>
      <c r="D25" s="55">
        <v>1.17</v>
      </c>
      <c r="E25" s="55">
        <v>1.19</v>
      </c>
      <c r="F25" s="55">
        <v>3.85</v>
      </c>
      <c r="G25" s="56">
        <v>0.85</v>
      </c>
      <c r="H25" s="57">
        <f t="shared" si="8"/>
        <v>0.85</v>
      </c>
      <c r="I25" s="57">
        <f>IF(N(E25)=0,"",IF(N(F25)&gt;=Parametros!$B$3,(1/E25)/((1/E25)+(1/F25)),1/E25))</f>
        <v>0.76388888888888895</v>
      </c>
      <c r="J25" s="57">
        <f>IF(OR(H25="",I25=""),"",I25+Parametros!$B$4*(H25-I25))</f>
        <v>0.82416666666666671</v>
      </c>
      <c r="K25" s="57">
        <f t="shared" si="9"/>
        <v>0.84033613445378152</v>
      </c>
      <c r="L25" s="57">
        <f t="shared" si="10"/>
        <v>0.10007639419404124</v>
      </c>
      <c r="M25" s="57">
        <f t="shared" si="11"/>
        <v>1.1499999999999844E-2</v>
      </c>
      <c r="N25" s="57">
        <f t="shared" si="12"/>
        <v>-1.9241666666666601E-2</v>
      </c>
      <c r="O25" s="57">
        <f t="shared" si="13"/>
        <v>8.6111111111111027E-2</v>
      </c>
      <c r="P25" s="58" t="str">
        <f t="shared" si="14"/>
        <v>média</v>
      </c>
      <c r="Q25" s="58" t="str">
        <f t="shared" si="15"/>
        <v>ok</v>
      </c>
      <c r="R25" s="54" t="s">
        <v>38</v>
      </c>
      <c r="S25" s="54" t="s">
        <v>6</v>
      </c>
      <c r="BC25" t="s">
        <v>102</v>
      </c>
      <c r="BE25" t="s">
        <v>103</v>
      </c>
    </row>
    <row r="26" spans="1:57" x14ac:dyDescent="0.25">
      <c r="A26" s="6"/>
      <c r="B26" s="54"/>
      <c r="C26" s="54"/>
      <c r="D26" s="55"/>
      <c r="E26" s="55"/>
      <c r="F26" s="55"/>
      <c r="G26" s="56"/>
      <c r="H26" s="57" t="str">
        <f t="shared" si="8"/>
        <v/>
      </c>
      <c r="I26" s="57" t="str">
        <f>IF(N(E26)=0,"",IF(N(F26)&gt;=Parametros!$B$3,(1/E26)/((1/E26)+(1/F26)),1/E26))</f>
        <v/>
      </c>
      <c r="J26" s="57" t="str">
        <f>IF(OR(H26="",I26=""),"",I26+Parametros!$B$4*(H26-I26))</f>
        <v/>
      </c>
      <c r="K26" s="57" t="str">
        <f t="shared" si="9"/>
        <v/>
      </c>
      <c r="L26" s="57" t="str">
        <f t="shared" si="10"/>
        <v/>
      </c>
      <c r="M26" s="57" t="str">
        <f t="shared" si="11"/>
        <v/>
      </c>
      <c r="N26" s="57" t="str">
        <f t="shared" si="12"/>
        <v/>
      </c>
      <c r="O26" s="57" t="str">
        <f t="shared" si="13"/>
        <v/>
      </c>
      <c r="P26" s="58" t="str">
        <f t="shared" si="14"/>
        <v/>
      </c>
      <c r="Q26" s="58" t="str">
        <f t="shared" si="15"/>
        <v/>
      </c>
      <c r="R26" s="54"/>
      <c r="S26" s="54"/>
      <c r="BC26" t="s">
        <v>104</v>
      </c>
      <c r="BE26" t="s">
        <v>105</v>
      </c>
    </row>
    <row r="27" spans="1:57" x14ac:dyDescent="0.25">
      <c r="A27" s="6"/>
      <c r="B27" s="54"/>
      <c r="C27" s="54"/>
      <c r="D27" s="55"/>
      <c r="E27" s="55"/>
      <c r="F27" s="55"/>
      <c r="G27" s="56"/>
      <c r="H27" s="57" t="str">
        <f t="shared" si="8"/>
        <v/>
      </c>
      <c r="I27" s="57" t="str">
        <f>IF(N(E27)=0,"",IF(N(F27)&gt;=Parametros!$B$3,(1/E27)/((1/E27)+(1/F27)),1/E27))</f>
        <v/>
      </c>
      <c r="J27" s="57" t="str">
        <f>IF(OR(H27="",I27=""),"",I27+Parametros!$B$4*(H27-I27))</f>
        <v/>
      </c>
      <c r="K27" s="57" t="str">
        <f t="shared" si="9"/>
        <v/>
      </c>
      <c r="L27" s="57" t="str">
        <f t="shared" si="10"/>
        <v/>
      </c>
      <c r="M27" s="57" t="str">
        <f t="shared" si="11"/>
        <v/>
      </c>
      <c r="N27" s="57" t="str">
        <f t="shared" si="12"/>
        <v/>
      </c>
      <c r="O27" s="57" t="str">
        <f t="shared" si="13"/>
        <v/>
      </c>
      <c r="P27" s="58" t="str">
        <f t="shared" si="14"/>
        <v/>
      </c>
      <c r="Q27" s="58" t="str">
        <f t="shared" si="15"/>
        <v/>
      </c>
      <c r="R27" s="54"/>
      <c r="S27" s="54"/>
      <c r="BC27" t="s">
        <v>106</v>
      </c>
      <c r="BE27" t="s">
        <v>107</v>
      </c>
    </row>
    <row r="28" spans="1:57" x14ac:dyDescent="0.25">
      <c r="A28" s="6"/>
      <c r="B28" s="54"/>
      <c r="C28" s="54"/>
      <c r="D28" s="55"/>
      <c r="E28" s="55"/>
      <c r="F28" s="55"/>
      <c r="G28" s="56"/>
      <c r="H28" s="57" t="str">
        <f t="shared" si="8"/>
        <v/>
      </c>
      <c r="I28" s="57" t="str">
        <f>IF(N(E28)=0,"",IF(N(F28)&gt;=Parametros!$B$3,(1/E28)/((1/E28)+(1/F28)),1/E28))</f>
        <v/>
      </c>
      <c r="J28" s="57" t="str">
        <f>IF(OR(H28="",I28=""),"",I28+Parametros!$B$4*(H28-I28))</f>
        <v/>
      </c>
      <c r="K28" s="57" t="str">
        <f t="shared" si="9"/>
        <v/>
      </c>
      <c r="L28" s="57" t="str">
        <f t="shared" si="10"/>
        <v/>
      </c>
      <c r="M28" s="57" t="str">
        <f t="shared" si="11"/>
        <v/>
      </c>
      <c r="N28" s="57" t="str">
        <f t="shared" si="12"/>
        <v/>
      </c>
      <c r="O28" s="57" t="str">
        <f t="shared" si="13"/>
        <v/>
      </c>
      <c r="P28" s="58" t="str">
        <f t="shared" si="14"/>
        <v/>
      </c>
      <c r="Q28" s="58" t="str">
        <f t="shared" si="15"/>
        <v/>
      </c>
      <c r="R28" s="54"/>
      <c r="S28" s="54"/>
      <c r="BC28" t="s">
        <v>108</v>
      </c>
      <c r="BE28" t="s">
        <v>109</v>
      </c>
    </row>
    <row r="29" spans="1:57" x14ac:dyDescent="0.25">
      <c r="A29" s="6"/>
      <c r="B29" s="54"/>
      <c r="C29" s="54"/>
      <c r="D29" s="55"/>
      <c r="E29" s="55"/>
      <c r="F29" s="55"/>
      <c r="G29" s="56"/>
      <c r="H29" s="57" t="str">
        <f t="shared" si="8"/>
        <v/>
      </c>
      <c r="I29" s="57" t="str">
        <f>IF(N(E29)=0,"",IF(N(F29)&gt;=Parametros!$B$3,(1/E29)/((1/E29)+(1/F29)),1/E29))</f>
        <v/>
      </c>
      <c r="J29" s="57" t="str">
        <f>IF(OR(H29="",I29=""),"",I29+Parametros!$B$4*(H29-I29))</f>
        <v/>
      </c>
      <c r="K29" s="57" t="str">
        <f t="shared" si="9"/>
        <v/>
      </c>
      <c r="L29" s="57" t="str">
        <f t="shared" si="10"/>
        <v/>
      </c>
      <c r="M29" s="57" t="str">
        <f t="shared" si="11"/>
        <v/>
      </c>
      <c r="N29" s="57" t="str">
        <f t="shared" si="12"/>
        <v/>
      </c>
      <c r="O29" s="57" t="str">
        <f t="shared" si="13"/>
        <v/>
      </c>
      <c r="P29" s="58" t="str">
        <f t="shared" si="14"/>
        <v/>
      </c>
      <c r="Q29" s="58" t="str">
        <f t="shared" si="15"/>
        <v/>
      </c>
      <c r="R29" s="54"/>
      <c r="S29" s="54"/>
      <c r="BC29" t="s">
        <v>110</v>
      </c>
      <c r="BE29" t="s">
        <v>111</v>
      </c>
    </row>
    <row r="30" spans="1:57" x14ac:dyDescent="0.25">
      <c r="A30" s="6"/>
      <c r="B30" s="54"/>
      <c r="C30" s="54"/>
      <c r="D30" s="55"/>
      <c r="E30" s="55"/>
      <c r="F30" s="55"/>
      <c r="G30" s="56"/>
      <c r="H30" s="57" t="str">
        <f t="shared" si="8"/>
        <v/>
      </c>
      <c r="I30" s="57" t="str">
        <f>IF(N(E30)=0,"",IF(N(F30)&gt;=Parametros!$B$3,(1/E30)/((1/E30)+(1/F30)),1/E30))</f>
        <v/>
      </c>
      <c r="J30" s="57" t="str">
        <f>IF(OR(H30="",I30=""),"",I30+Parametros!$B$4*(H30-I30))</f>
        <v/>
      </c>
      <c r="K30" s="57" t="str">
        <f t="shared" si="9"/>
        <v/>
      </c>
      <c r="L30" s="57" t="str">
        <f t="shared" si="10"/>
        <v/>
      </c>
      <c r="M30" s="57" t="str">
        <f t="shared" si="11"/>
        <v/>
      </c>
      <c r="N30" s="57" t="str">
        <f t="shared" si="12"/>
        <v/>
      </c>
      <c r="O30" s="57" t="str">
        <f t="shared" si="13"/>
        <v/>
      </c>
      <c r="P30" s="58" t="str">
        <f t="shared" si="14"/>
        <v/>
      </c>
      <c r="Q30" s="58" t="str">
        <f t="shared" si="15"/>
        <v/>
      </c>
      <c r="R30" s="54"/>
      <c r="S30" s="54"/>
      <c r="BC30" t="s">
        <v>112</v>
      </c>
      <c r="BE30" t="s">
        <v>113</v>
      </c>
    </row>
    <row r="31" spans="1:57" ht="15.75" customHeight="1" thickBot="1" x14ac:dyDescent="0.3">
      <c r="A31" s="19"/>
      <c r="B31" s="59"/>
      <c r="C31" s="59"/>
      <c r="D31" s="60"/>
      <c r="E31" s="60"/>
      <c r="F31" s="60"/>
      <c r="G31" s="61"/>
      <c r="H31" s="62" t="str">
        <f t="shared" si="8"/>
        <v/>
      </c>
      <c r="I31" s="62" t="str">
        <f>IF(N(E31)=0,"",IF(N(F31)&gt;=Parametros!$B$3,(1/E31)/((1/E31)+(1/F31)),1/E31))</f>
        <v/>
      </c>
      <c r="J31" s="62" t="str">
        <f>IF(OR(H31="",I31=""),"",I31+Parametros!$B$4*(H31-I31))</f>
        <v/>
      </c>
      <c r="K31" s="62" t="str">
        <f t="shared" si="9"/>
        <v/>
      </c>
      <c r="L31" s="62" t="str">
        <f t="shared" si="10"/>
        <v/>
      </c>
      <c r="M31" s="62" t="str">
        <f t="shared" si="11"/>
        <v/>
      </c>
      <c r="N31" s="57" t="str">
        <f t="shared" si="12"/>
        <v/>
      </c>
      <c r="O31" s="57" t="str">
        <f t="shared" si="13"/>
        <v/>
      </c>
      <c r="P31" s="58" t="str">
        <f t="shared" si="14"/>
        <v/>
      </c>
      <c r="Q31" s="58" t="str">
        <f t="shared" si="15"/>
        <v/>
      </c>
      <c r="R31" s="54"/>
      <c r="S31" s="54"/>
      <c r="BC31" t="s">
        <v>114</v>
      </c>
      <c r="BE31" t="s">
        <v>115</v>
      </c>
    </row>
    <row r="32" spans="1:57" s="76" customFormat="1" ht="15.75" customHeight="1" thickBot="1" x14ac:dyDescent="0.3">
      <c r="A32" s="110" t="s">
        <v>116</v>
      </c>
      <c r="B32" s="23" t="s">
        <v>77</v>
      </c>
      <c r="C32" s="29">
        <f>IF(COUNT(H24:H31)=0,"",PRODUCT(H24:H31))</f>
        <v>0.73099999999999998</v>
      </c>
      <c r="D32" s="112" t="s">
        <v>78</v>
      </c>
      <c r="E32" s="106"/>
      <c r="F32" s="29">
        <f>IF(N(D22)&gt;0,1/D22,"")</f>
        <v>0.64516129032258063</v>
      </c>
      <c r="G32" s="105" t="s">
        <v>79</v>
      </c>
      <c r="H32" s="106"/>
      <c r="I32" s="30">
        <f>IF(N(G22)&gt;0,G22,IF(N(D22)&gt;0,1/D22,IF(COUNT(H24:H31)=0,"",PRODUCT(H24:H31))))</f>
        <v>0.64516129032258063</v>
      </c>
      <c r="J32" s="23" t="s">
        <v>80</v>
      </c>
      <c r="K32" s="25">
        <f>COUNT(H24:H31)</f>
        <v>2</v>
      </c>
      <c r="L32" s="71" t="str">
        <f>IF(AND(COUNT(H24:H31)&gt;1,N(G22)=0,N(D22)=0),"⚠ 2+ pernas do mesmo jogo sem odd final: o 'produto' está errado — "&amp;"digite a Odd Criar Aposta em D21 (ou o Joint Simulador em G21)","")</f>
        <v/>
      </c>
      <c r="BC32" t="s">
        <v>117</v>
      </c>
      <c r="BE32" t="s">
        <v>118</v>
      </c>
    </row>
    <row r="33" spans="1:57" s="76" customFormat="1" ht="15.75" customHeight="1" thickBot="1" x14ac:dyDescent="0.3">
      <c r="A33" s="111"/>
      <c r="B33" s="85" t="s">
        <v>83</v>
      </c>
      <c r="C33" s="26">
        <f>IF(COUNT(E24:E31)=0,"",PRODUCT(E24:E31))</f>
        <v>1.5112999999999999</v>
      </c>
      <c r="D33" s="103" t="s">
        <v>84</v>
      </c>
      <c r="E33" s="104"/>
      <c r="F33" s="26">
        <f>IF(N(D22)&gt;0,D22,"")</f>
        <v>1.55</v>
      </c>
      <c r="G33" s="80" t="s">
        <v>85</v>
      </c>
      <c r="H33" s="31">
        <f>IF(AND(N(D22)&gt;0,COUNT(E24:E31)&gt;0),D22/PRODUCT(E24:E31)-1,"")</f>
        <v>2.5607093230993305E-2</v>
      </c>
      <c r="I33" s="107" t="s">
        <v>86</v>
      </c>
      <c r="J33" s="104"/>
      <c r="K33" s="32">
        <f>IF(COUNT(I24:I31)=0,"",PRODUCT(I24:I31))</f>
        <v>0.57253999561691882</v>
      </c>
      <c r="L33" s="118" t="s">
        <v>87</v>
      </c>
      <c r="M33" s="119"/>
      <c r="N33" s="33">
        <f>IF(COUNT(J24:J31)=0,"",PRODUCT(J24:J31))</f>
        <v>0.68146391518737681</v>
      </c>
      <c r="O33" s="49" t="s">
        <v>88</v>
      </c>
      <c r="BC33" t="s">
        <v>119</v>
      </c>
      <c r="BE33" t="s">
        <v>120</v>
      </c>
    </row>
    <row r="34" spans="1:57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BC34" t="s">
        <v>121</v>
      </c>
      <c r="BE34" t="s">
        <v>122</v>
      </c>
    </row>
    <row r="35" spans="1:57" ht="16.5" customHeight="1" thickBot="1" x14ac:dyDescent="0.3">
      <c r="A35" s="4" t="s">
        <v>123</v>
      </c>
      <c r="B35" s="83" t="s">
        <v>30</v>
      </c>
      <c r="C35" s="92"/>
      <c r="D35" s="89"/>
      <c r="E35" s="89"/>
      <c r="F35" s="89"/>
      <c r="G35" s="89"/>
      <c r="H35" s="89"/>
      <c r="I35" s="101" t="s">
        <v>31</v>
      </c>
      <c r="J35" s="89"/>
      <c r="K35" s="95"/>
      <c r="L35" s="97"/>
      <c r="M35" s="97"/>
      <c r="N35" s="97"/>
      <c r="O35" s="97"/>
      <c r="P35" s="97"/>
      <c r="Q35" s="97"/>
      <c r="R35" s="97"/>
      <c r="S35" s="98"/>
      <c r="BC35" t="s">
        <v>124</v>
      </c>
      <c r="BE35" t="s">
        <v>125</v>
      </c>
    </row>
    <row r="36" spans="1:57" ht="15.75" customHeight="1" thickBot="1" x14ac:dyDescent="0.3">
      <c r="A36" s="102" t="s">
        <v>366</v>
      </c>
      <c r="B36" s="89"/>
      <c r="C36" s="89"/>
      <c r="D36" s="52"/>
      <c r="E36" s="88" t="s">
        <v>35</v>
      </c>
      <c r="F36" s="89"/>
      <c r="G36" s="53"/>
      <c r="H36" s="88" t="s">
        <v>36</v>
      </c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BC36" t="s">
        <v>126</v>
      </c>
      <c r="BE36" t="s">
        <v>127</v>
      </c>
    </row>
    <row r="37" spans="1:57" ht="30" customHeight="1" x14ac:dyDescent="0.25">
      <c r="A37" s="5" t="s">
        <v>39</v>
      </c>
      <c r="B37" s="24" t="s">
        <v>40</v>
      </c>
      <c r="C37" s="24" t="s">
        <v>41</v>
      </c>
      <c r="D37" s="24" t="s">
        <v>42</v>
      </c>
      <c r="E37" s="24" t="s">
        <v>43</v>
      </c>
      <c r="F37" s="24" t="s">
        <v>44</v>
      </c>
      <c r="G37" s="24" t="s">
        <v>45</v>
      </c>
      <c r="H37" s="24" t="s">
        <v>46</v>
      </c>
      <c r="I37" s="24" t="s">
        <v>47</v>
      </c>
      <c r="J37" s="24" t="s">
        <v>48</v>
      </c>
      <c r="K37" s="24" t="s">
        <v>49</v>
      </c>
      <c r="L37" s="24" t="s">
        <v>50</v>
      </c>
      <c r="M37" s="24" t="s">
        <v>51</v>
      </c>
      <c r="N37" s="24" t="s">
        <v>52</v>
      </c>
      <c r="O37" s="24" t="s">
        <v>53</v>
      </c>
      <c r="P37" s="24" t="s">
        <v>54</v>
      </c>
      <c r="Q37" s="24" t="s">
        <v>55</v>
      </c>
      <c r="R37" s="24" t="s">
        <v>56</v>
      </c>
      <c r="S37" s="24" t="s">
        <v>57</v>
      </c>
      <c r="BC37" t="s">
        <v>128</v>
      </c>
      <c r="BE37" t="s">
        <v>129</v>
      </c>
    </row>
    <row r="38" spans="1:57" x14ac:dyDescent="0.25">
      <c r="A38" s="6"/>
      <c r="B38" s="54"/>
      <c r="C38" s="54"/>
      <c r="D38" s="55"/>
      <c r="E38" s="55"/>
      <c r="F38" s="55"/>
      <c r="G38" s="56"/>
      <c r="H38" s="57" t="str">
        <f t="shared" ref="H38:H45" si="16">IF(N(G38)&gt;0,G38,IF(N(D38)&gt;0,1/D38,""))</f>
        <v/>
      </c>
      <c r="I38" s="57" t="str">
        <f>IF(N(E38)=0,"",IF(N(F38)&gt;=Parametros!$B$3,(1/E38)/((1/E38)+(1/F38)),1/E38))</f>
        <v/>
      </c>
      <c r="J38" s="57" t="str">
        <f>IF(OR(H38="",I38=""),"",I38+Parametros!$B$4*(H38-I38))</f>
        <v/>
      </c>
      <c r="K38" s="57" t="str">
        <f t="shared" ref="K38:K45" si="17">IF(N(E38)=0,"",1/E38)</f>
        <v/>
      </c>
      <c r="L38" s="57" t="str">
        <f t="shared" ref="L38:L45" si="18">IF(OR(N(E38)=0,N(F38)=0),"",1/E38+1/F38-1)</f>
        <v/>
      </c>
      <c r="M38" s="57" t="str">
        <f t="shared" ref="M38:M45" si="19">IF(OR(H38="",N(E38)=0),"",H38*E38-1)</f>
        <v/>
      </c>
      <c r="N38" s="57" t="str">
        <f t="shared" ref="N38:N45" si="20">IF(OR(J38="",N(E38)=0),"",J38*E38-1)</f>
        <v/>
      </c>
      <c r="O38" s="57" t="str">
        <f t="shared" ref="O38:O45" si="21">IF(OR(H38="",I38=""),"",H38-I38)</f>
        <v/>
      </c>
      <c r="P38" s="58" t="str">
        <f t="shared" ref="P38:P45" si="22">IF(O38="","",IF(ABS(O38)&gt;0.1,"ALTA",IF(ABS(O38)&gt;0.05,"média","")))</f>
        <v/>
      </c>
      <c r="Q38" s="58" t="str">
        <f t="shared" ref="Q38:Q45" si="23">IF(AND(N(D38)&gt;0,N(G38)&gt;0),IF(ABS(1/D38-G38)&gt;0.01,"D≠G ⚠","ok"),"")</f>
        <v/>
      </c>
      <c r="R38" s="54" t="s">
        <v>26</v>
      </c>
      <c r="S38" s="54" t="s">
        <v>6</v>
      </c>
      <c r="BC38" t="s">
        <v>130</v>
      </c>
      <c r="BE38" t="s">
        <v>131</v>
      </c>
    </row>
    <row r="39" spans="1:57" x14ac:dyDescent="0.25">
      <c r="A39" s="6"/>
      <c r="B39" s="54"/>
      <c r="C39" s="54"/>
      <c r="D39" s="55"/>
      <c r="E39" s="55"/>
      <c r="F39" s="55"/>
      <c r="G39" s="56"/>
      <c r="H39" s="57" t="str">
        <f t="shared" si="16"/>
        <v/>
      </c>
      <c r="I39" s="57" t="str">
        <f>IF(N(E39)=0,"",IF(N(F39)&gt;=Parametros!$B$3,(1/E39)/((1/E39)+(1/F39)),1/E39))</f>
        <v/>
      </c>
      <c r="J39" s="57" t="str">
        <f>IF(OR(H39="",I39=""),"",I39+Parametros!$B$4*(H39-I39))</f>
        <v/>
      </c>
      <c r="K39" s="57" t="str">
        <f t="shared" si="17"/>
        <v/>
      </c>
      <c r="L39" s="57" t="str">
        <f t="shared" si="18"/>
        <v/>
      </c>
      <c r="M39" s="57" t="str">
        <f t="shared" si="19"/>
        <v/>
      </c>
      <c r="N39" s="57" t="str">
        <f t="shared" si="20"/>
        <v/>
      </c>
      <c r="O39" s="57" t="str">
        <f t="shared" si="21"/>
        <v/>
      </c>
      <c r="P39" s="58" t="str">
        <f t="shared" si="22"/>
        <v/>
      </c>
      <c r="Q39" s="58" t="str">
        <f t="shared" si="23"/>
        <v/>
      </c>
      <c r="R39" s="54" t="s">
        <v>7</v>
      </c>
      <c r="S39" s="54" t="s">
        <v>6</v>
      </c>
      <c r="BC39" t="s">
        <v>132</v>
      </c>
      <c r="BE39" t="s">
        <v>133</v>
      </c>
    </row>
    <row r="40" spans="1:57" x14ac:dyDescent="0.25">
      <c r="A40" s="6"/>
      <c r="B40" s="54"/>
      <c r="C40" s="54"/>
      <c r="D40" s="55"/>
      <c r="E40" s="55"/>
      <c r="F40" s="55"/>
      <c r="G40" s="56"/>
      <c r="H40" s="57" t="str">
        <f t="shared" si="16"/>
        <v/>
      </c>
      <c r="I40" s="57" t="str">
        <f>IF(N(E40)=0,"",IF(N(F40)&gt;=Parametros!$B$3,(1/E40)/((1/E40)+(1/F40)),1/E40))</f>
        <v/>
      </c>
      <c r="J40" s="57" t="str">
        <f>IF(OR(H40="",I40=""),"",I40+Parametros!$B$4*(H40-I40))</f>
        <v/>
      </c>
      <c r="K40" s="57" t="str">
        <f t="shared" si="17"/>
        <v/>
      </c>
      <c r="L40" s="57" t="str">
        <f t="shared" si="18"/>
        <v/>
      </c>
      <c r="M40" s="57" t="str">
        <f t="shared" si="19"/>
        <v/>
      </c>
      <c r="N40" s="57" t="str">
        <f t="shared" si="20"/>
        <v/>
      </c>
      <c r="O40" s="57" t="str">
        <f t="shared" si="21"/>
        <v/>
      </c>
      <c r="P40" s="58" t="str">
        <f t="shared" si="22"/>
        <v/>
      </c>
      <c r="Q40" s="58" t="str">
        <f t="shared" si="23"/>
        <v/>
      </c>
      <c r="R40" s="54"/>
      <c r="S40" s="54"/>
      <c r="BC40" t="s">
        <v>134</v>
      </c>
      <c r="BE40" t="s">
        <v>135</v>
      </c>
    </row>
    <row r="41" spans="1:57" x14ac:dyDescent="0.25">
      <c r="A41" s="6"/>
      <c r="B41" s="54"/>
      <c r="C41" s="54"/>
      <c r="D41" s="55"/>
      <c r="E41" s="55"/>
      <c r="F41" s="55"/>
      <c r="G41" s="56"/>
      <c r="H41" s="57" t="str">
        <f t="shared" si="16"/>
        <v/>
      </c>
      <c r="I41" s="57" t="str">
        <f>IF(N(E41)=0,"",IF(N(F41)&gt;=Parametros!$B$3,(1/E41)/((1/E41)+(1/F41)),1/E41))</f>
        <v/>
      </c>
      <c r="J41" s="57" t="str">
        <f>IF(OR(H41="",I41=""),"",I41+Parametros!$B$4*(H41-I41))</f>
        <v/>
      </c>
      <c r="K41" s="57" t="str">
        <f t="shared" si="17"/>
        <v/>
      </c>
      <c r="L41" s="57" t="str">
        <f t="shared" si="18"/>
        <v/>
      </c>
      <c r="M41" s="57" t="str">
        <f t="shared" si="19"/>
        <v/>
      </c>
      <c r="N41" s="57" t="str">
        <f t="shared" si="20"/>
        <v/>
      </c>
      <c r="O41" s="57" t="str">
        <f t="shared" si="21"/>
        <v/>
      </c>
      <c r="P41" s="58" t="str">
        <f t="shared" si="22"/>
        <v/>
      </c>
      <c r="Q41" s="58" t="str">
        <f t="shared" si="23"/>
        <v/>
      </c>
      <c r="R41" s="54"/>
      <c r="S41" s="54"/>
      <c r="BC41" t="s">
        <v>136</v>
      </c>
      <c r="BE41" t="s">
        <v>137</v>
      </c>
    </row>
    <row r="42" spans="1:57" x14ac:dyDescent="0.25">
      <c r="A42" s="6"/>
      <c r="B42" s="54"/>
      <c r="C42" s="54"/>
      <c r="D42" s="55"/>
      <c r="E42" s="55"/>
      <c r="F42" s="55"/>
      <c r="G42" s="56"/>
      <c r="H42" s="57" t="str">
        <f t="shared" si="16"/>
        <v/>
      </c>
      <c r="I42" s="57" t="str">
        <f>IF(N(E42)=0,"",IF(N(F42)&gt;=Parametros!$B$3,(1/E42)/((1/E42)+(1/F42)),1/E42))</f>
        <v/>
      </c>
      <c r="J42" s="57" t="str">
        <f>IF(OR(H42="",I42=""),"",I42+Parametros!$B$4*(H42-I42))</f>
        <v/>
      </c>
      <c r="K42" s="57" t="str">
        <f t="shared" si="17"/>
        <v/>
      </c>
      <c r="L42" s="57" t="str">
        <f t="shared" si="18"/>
        <v/>
      </c>
      <c r="M42" s="57" t="str">
        <f t="shared" si="19"/>
        <v/>
      </c>
      <c r="N42" s="57" t="str">
        <f t="shared" si="20"/>
        <v/>
      </c>
      <c r="O42" s="57" t="str">
        <f t="shared" si="21"/>
        <v/>
      </c>
      <c r="P42" s="58" t="str">
        <f t="shared" si="22"/>
        <v/>
      </c>
      <c r="Q42" s="58" t="str">
        <f t="shared" si="23"/>
        <v/>
      </c>
      <c r="R42" s="54"/>
      <c r="S42" s="54"/>
      <c r="BC42" t="s">
        <v>138</v>
      </c>
      <c r="BE42" t="s">
        <v>139</v>
      </c>
    </row>
    <row r="43" spans="1:57" x14ac:dyDescent="0.25">
      <c r="A43" s="6"/>
      <c r="B43" s="54"/>
      <c r="C43" s="54"/>
      <c r="D43" s="55"/>
      <c r="E43" s="55"/>
      <c r="F43" s="55"/>
      <c r="G43" s="56"/>
      <c r="H43" s="57" t="str">
        <f t="shared" si="16"/>
        <v/>
      </c>
      <c r="I43" s="57" t="str">
        <f>IF(N(E43)=0,"",IF(N(F43)&gt;=Parametros!$B$3,(1/E43)/((1/E43)+(1/F43)),1/E43))</f>
        <v/>
      </c>
      <c r="J43" s="57" t="str">
        <f>IF(OR(H43="",I43=""),"",I43+Parametros!$B$4*(H43-I43))</f>
        <v/>
      </c>
      <c r="K43" s="57" t="str">
        <f t="shared" si="17"/>
        <v/>
      </c>
      <c r="L43" s="57" t="str">
        <f t="shared" si="18"/>
        <v/>
      </c>
      <c r="M43" s="57" t="str">
        <f t="shared" si="19"/>
        <v/>
      </c>
      <c r="N43" s="57" t="str">
        <f t="shared" si="20"/>
        <v/>
      </c>
      <c r="O43" s="57" t="str">
        <f t="shared" si="21"/>
        <v/>
      </c>
      <c r="P43" s="58" t="str">
        <f t="shared" si="22"/>
        <v/>
      </c>
      <c r="Q43" s="58" t="str">
        <f t="shared" si="23"/>
        <v/>
      </c>
      <c r="R43" s="54"/>
      <c r="S43" s="54"/>
      <c r="BC43" t="s">
        <v>140</v>
      </c>
      <c r="BE43" t="s">
        <v>141</v>
      </c>
    </row>
    <row r="44" spans="1:57" x14ac:dyDescent="0.25">
      <c r="A44" s="6"/>
      <c r="B44" s="54"/>
      <c r="C44" s="54"/>
      <c r="D44" s="55"/>
      <c r="E44" s="55"/>
      <c r="F44" s="55"/>
      <c r="G44" s="56"/>
      <c r="H44" s="57" t="str">
        <f t="shared" si="16"/>
        <v/>
      </c>
      <c r="I44" s="57" t="str">
        <f>IF(N(E44)=0,"",IF(N(F44)&gt;=Parametros!$B$3,(1/E44)/((1/E44)+(1/F44)),1/E44))</f>
        <v/>
      </c>
      <c r="J44" s="57" t="str">
        <f>IF(OR(H44="",I44=""),"",I44+Parametros!$B$4*(H44-I44))</f>
        <v/>
      </c>
      <c r="K44" s="57" t="str">
        <f t="shared" si="17"/>
        <v/>
      </c>
      <c r="L44" s="57" t="str">
        <f t="shared" si="18"/>
        <v/>
      </c>
      <c r="M44" s="57" t="str">
        <f t="shared" si="19"/>
        <v/>
      </c>
      <c r="N44" s="57" t="str">
        <f t="shared" si="20"/>
        <v/>
      </c>
      <c r="O44" s="57" t="str">
        <f t="shared" si="21"/>
        <v/>
      </c>
      <c r="P44" s="58" t="str">
        <f t="shared" si="22"/>
        <v/>
      </c>
      <c r="Q44" s="58" t="str">
        <f t="shared" si="23"/>
        <v/>
      </c>
      <c r="R44" s="54"/>
      <c r="S44" s="54"/>
      <c r="BC44" t="s">
        <v>142</v>
      </c>
      <c r="BE44" t="s">
        <v>143</v>
      </c>
    </row>
    <row r="45" spans="1:57" ht="15.75" customHeight="1" thickBot="1" x14ac:dyDescent="0.3">
      <c r="A45" s="19"/>
      <c r="B45" s="59"/>
      <c r="C45" s="59"/>
      <c r="D45" s="60"/>
      <c r="E45" s="60"/>
      <c r="F45" s="60"/>
      <c r="G45" s="61"/>
      <c r="H45" s="62" t="str">
        <f t="shared" si="16"/>
        <v/>
      </c>
      <c r="I45" s="62" t="str">
        <f>IF(N(E45)=0,"",IF(N(F45)&gt;=Parametros!$B$3,(1/E45)/((1/E45)+(1/F45)),1/E45))</f>
        <v/>
      </c>
      <c r="J45" s="62" t="str">
        <f>IF(OR(H45="",I45=""),"",I45+Parametros!$B$4*(H45-I45))</f>
        <v/>
      </c>
      <c r="K45" s="62" t="str">
        <f t="shared" si="17"/>
        <v/>
      </c>
      <c r="L45" s="62" t="str">
        <f t="shared" si="18"/>
        <v/>
      </c>
      <c r="M45" s="62" t="str">
        <f t="shared" si="19"/>
        <v/>
      </c>
      <c r="N45" s="57" t="str">
        <f t="shared" si="20"/>
        <v/>
      </c>
      <c r="O45" s="57" t="str">
        <f t="shared" si="21"/>
        <v/>
      </c>
      <c r="P45" s="58" t="str">
        <f t="shared" si="22"/>
        <v/>
      </c>
      <c r="Q45" s="58" t="str">
        <f t="shared" si="23"/>
        <v/>
      </c>
      <c r="R45" s="54"/>
      <c r="S45" s="54"/>
      <c r="BC45" t="s">
        <v>144</v>
      </c>
      <c r="BE45" t="s">
        <v>145</v>
      </c>
    </row>
    <row r="46" spans="1:57" s="76" customFormat="1" ht="15.75" customHeight="1" thickBot="1" x14ac:dyDescent="0.3">
      <c r="A46" s="110" t="s">
        <v>146</v>
      </c>
      <c r="B46" s="23" t="s">
        <v>77</v>
      </c>
      <c r="C46" s="29" t="str">
        <f>IF(COUNT(H38:H45)=0,"",PRODUCT(H38:H45))</f>
        <v/>
      </c>
      <c r="D46" s="112" t="s">
        <v>78</v>
      </c>
      <c r="E46" s="106"/>
      <c r="F46" s="29" t="str">
        <f>IF(N(D36)&gt;0,1/D36,"")</f>
        <v/>
      </c>
      <c r="G46" s="93" t="s">
        <v>79</v>
      </c>
      <c r="H46" s="94"/>
      <c r="I46" s="48" t="str">
        <f>IF(N(G36)&gt;0,G36,IF(N(D36)&gt;0,1/D36,IF(COUNT(H38:H45)=0,"",PRODUCT(H38:H45))))</f>
        <v/>
      </c>
      <c r="J46" s="47" t="s">
        <v>80</v>
      </c>
      <c r="K46" s="46">
        <f>COUNT(H38:H45)</f>
        <v>0</v>
      </c>
      <c r="L46" s="71" t="str">
        <f>IF(AND(COUNT(H38:H45)&gt;1,N(G36)=0,N(D36)=0),"⚠ 2+ pernas do mesmo jogo sem odd final: o 'produto' está errado — "&amp;"digite a Odd Criar Aposta em D34 (ou o Joint Simulador em G34)","")</f>
        <v/>
      </c>
      <c r="BC46" t="s">
        <v>147</v>
      </c>
      <c r="BE46" t="s">
        <v>148</v>
      </c>
    </row>
    <row r="47" spans="1:57" s="76" customFormat="1" ht="15.75" customHeight="1" thickBot="1" x14ac:dyDescent="0.3">
      <c r="A47" s="111"/>
      <c r="B47" s="85" t="s">
        <v>83</v>
      </c>
      <c r="C47" s="26" t="str">
        <f>IF(COUNT(E38:E45)=0,"",PRODUCT(E38:E45))</f>
        <v/>
      </c>
      <c r="D47" s="103" t="s">
        <v>84</v>
      </c>
      <c r="E47" s="104"/>
      <c r="F47" s="26" t="str">
        <f>IF(N(D36)&gt;0,D36,"")</f>
        <v/>
      </c>
      <c r="G47" s="84" t="s">
        <v>85</v>
      </c>
      <c r="H47" s="44" t="str">
        <f>IF(AND(N(D36)&gt;0,COUNT(E38:E45)&gt;0),D36/PRODUCT(E38:E45)-1,"")</f>
        <v/>
      </c>
      <c r="I47" s="107" t="s">
        <v>86</v>
      </c>
      <c r="J47" s="104"/>
      <c r="K47" s="45" t="str">
        <f>IF(COUNT(I38:I45)=0,"",PRODUCT(I38:I45))</f>
        <v/>
      </c>
      <c r="L47" s="118" t="s">
        <v>87</v>
      </c>
      <c r="M47" s="119"/>
      <c r="N47" s="33" t="str">
        <f>IF(COUNT(J38:J45)=0,"",PRODUCT(J38:J45))</f>
        <v/>
      </c>
      <c r="O47" s="78" t="s">
        <v>88</v>
      </c>
      <c r="BC47" t="s">
        <v>149</v>
      </c>
      <c r="BE47" t="s">
        <v>150</v>
      </c>
    </row>
    <row r="48" spans="1:57" x14ac:dyDescent="0.25"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BC48" t="s">
        <v>151</v>
      </c>
      <c r="BE48" t="s">
        <v>152</v>
      </c>
    </row>
    <row r="49" spans="1:57" ht="16.5" customHeight="1" thickBot="1" x14ac:dyDescent="0.3">
      <c r="A49" s="4" t="s">
        <v>153</v>
      </c>
      <c r="B49" s="83" t="s">
        <v>30</v>
      </c>
      <c r="C49" s="82"/>
      <c r="I49" s="83" t="s">
        <v>31</v>
      </c>
      <c r="K49" s="100"/>
      <c r="L49" s="89"/>
      <c r="M49" s="89"/>
      <c r="N49" s="89"/>
      <c r="O49" s="89"/>
      <c r="P49" s="89"/>
      <c r="Q49" s="89"/>
      <c r="R49" s="89"/>
      <c r="S49" s="96"/>
      <c r="BC49" t="s">
        <v>154</v>
      </c>
      <c r="BE49" t="s">
        <v>155</v>
      </c>
    </row>
    <row r="50" spans="1:57" ht="15.75" customHeight="1" thickBot="1" x14ac:dyDescent="0.3">
      <c r="A50" s="102" t="s">
        <v>34</v>
      </c>
      <c r="B50" s="89"/>
      <c r="C50" s="89"/>
      <c r="D50" s="52"/>
      <c r="E50" s="88" t="s">
        <v>35</v>
      </c>
      <c r="F50" s="89"/>
      <c r="G50" s="53"/>
      <c r="H50" s="88" t="s">
        <v>36</v>
      </c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BC50" t="s">
        <v>156</v>
      </c>
      <c r="BE50" t="s">
        <v>157</v>
      </c>
    </row>
    <row r="51" spans="1:57" ht="30" customHeight="1" x14ac:dyDescent="0.25">
      <c r="A51" s="5" t="s">
        <v>39</v>
      </c>
      <c r="B51" s="24" t="s">
        <v>40</v>
      </c>
      <c r="C51" s="24" t="s">
        <v>41</v>
      </c>
      <c r="D51" s="24" t="s">
        <v>42</v>
      </c>
      <c r="E51" s="24" t="s">
        <v>43</v>
      </c>
      <c r="F51" s="24" t="s">
        <v>44</v>
      </c>
      <c r="G51" s="24" t="s">
        <v>45</v>
      </c>
      <c r="H51" s="24" t="s">
        <v>46</v>
      </c>
      <c r="I51" s="24" t="s">
        <v>47</v>
      </c>
      <c r="J51" s="24" t="s">
        <v>48</v>
      </c>
      <c r="K51" s="24" t="s">
        <v>49</v>
      </c>
      <c r="L51" s="24" t="s">
        <v>50</v>
      </c>
      <c r="M51" s="24" t="s">
        <v>51</v>
      </c>
      <c r="N51" s="24" t="s">
        <v>52</v>
      </c>
      <c r="O51" s="24" t="s">
        <v>53</v>
      </c>
      <c r="P51" s="24" t="s">
        <v>54</v>
      </c>
      <c r="Q51" s="24" t="s">
        <v>55</v>
      </c>
      <c r="R51" s="24" t="s">
        <v>56</v>
      </c>
      <c r="S51" s="24" t="s">
        <v>57</v>
      </c>
      <c r="BC51" t="s">
        <v>158</v>
      </c>
      <c r="BE51" t="s">
        <v>159</v>
      </c>
    </row>
    <row r="52" spans="1:57" x14ac:dyDescent="0.25">
      <c r="A52" s="6"/>
      <c r="B52" s="54"/>
      <c r="C52" s="54"/>
      <c r="D52" s="55"/>
      <c r="E52" s="55"/>
      <c r="F52" s="55"/>
      <c r="G52" s="56"/>
      <c r="H52" s="57" t="str">
        <f t="shared" ref="H52:H59" si="24">IF(N(G52)&gt;0,G52,IF(N(D52)&gt;0,1/D52,""))</f>
        <v/>
      </c>
      <c r="I52" s="57" t="str">
        <f>IF(N(E52)=0,"",IF(N(F52)&gt;=Parametros!$B$3,(1/E52)/((1/E52)+(1/F52)),1/E52))</f>
        <v/>
      </c>
      <c r="J52" s="57" t="str">
        <f>IF(OR(H52="",I52=""),"",I52+Parametros!$B$4*(H52-I52))</f>
        <v/>
      </c>
      <c r="K52" s="57" t="str">
        <f t="shared" ref="K52:K59" si="25">IF(N(E52)=0,"",1/E52)</f>
        <v/>
      </c>
      <c r="L52" s="57" t="str">
        <f t="shared" ref="L52:L59" si="26">IF(OR(N(E52)=0,N(F52)=0),"",1/E52+1/F52-1)</f>
        <v/>
      </c>
      <c r="M52" s="57" t="str">
        <f t="shared" ref="M52:M59" si="27">IF(OR(H52="",N(E52)=0),"",H52*E52-1)</f>
        <v/>
      </c>
      <c r="N52" s="57" t="str">
        <f t="shared" ref="N52:N59" si="28">IF(OR(J52="",N(E52)=0),"",J52*E52-1)</f>
        <v/>
      </c>
      <c r="O52" s="57" t="str">
        <f t="shared" ref="O52:O59" si="29">IF(OR(H52="",I52=""),"",H52-I52)</f>
        <v/>
      </c>
      <c r="P52" s="58" t="str">
        <f t="shared" ref="P52:P59" si="30">IF(O52="","",IF(ABS(O52)&gt;0.1,"ALTA",IF(ABS(O52)&gt;0.05,"média","")))</f>
        <v/>
      </c>
      <c r="Q52" s="58" t="str">
        <f t="shared" ref="Q52:Q59" si="31">IF(AND(N(D52)&gt;0,N(G52)&gt;0),IF(ABS(1/D52-G52)&gt;0.01,"D≠G ⚠","ok"),"")</f>
        <v/>
      </c>
      <c r="R52" s="54"/>
      <c r="S52" s="54"/>
      <c r="BC52" t="s">
        <v>160</v>
      </c>
      <c r="BE52" t="s">
        <v>161</v>
      </c>
    </row>
    <row r="53" spans="1:57" x14ac:dyDescent="0.25">
      <c r="A53" s="6"/>
      <c r="B53" s="54"/>
      <c r="C53" s="54"/>
      <c r="D53" s="55"/>
      <c r="E53" s="55"/>
      <c r="F53" s="55"/>
      <c r="G53" s="56"/>
      <c r="H53" s="57" t="str">
        <f t="shared" si="24"/>
        <v/>
      </c>
      <c r="I53" s="57" t="str">
        <f>IF(N(E53)=0,"",IF(N(F53)&gt;=Parametros!$B$3,(1/E53)/((1/E53)+(1/F53)),1/E53))</f>
        <v/>
      </c>
      <c r="J53" s="57" t="str">
        <f>IF(OR(H53="",I53=""),"",I53+Parametros!$B$4*(H53-I53))</f>
        <v/>
      </c>
      <c r="K53" s="57" t="str">
        <f t="shared" si="25"/>
        <v/>
      </c>
      <c r="L53" s="57" t="str">
        <f t="shared" si="26"/>
        <v/>
      </c>
      <c r="M53" s="57" t="str">
        <f t="shared" si="27"/>
        <v/>
      </c>
      <c r="N53" s="57" t="str">
        <f t="shared" si="28"/>
        <v/>
      </c>
      <c r="O53" s="57" t="str">
        <f t="shared" si="29"/>
        <v/>
      </c>
      <c r="P53" s="58" t="str">
        <f t="shared" si="30"/>
        <v/>
      </c>
      <c r="Q53" s="58" t="str">
        <f t="shared" si="31"/>
        <v/>
      </c>
      <c r="R53" s="54"/>
      <c r="S53" s="54"/>
      <c r="BC53" t="s">
        <v>162</v>
      </c>
      <c r="BE53" t="s">
        <v>163</v>
      </c>
    </row>
    <row r="54" spans="1:57" x14ac:dyDescent="0.25">
      <c r="A54" s="6"/>
      <c r="B54" s="54"/>
      <c r="C54" s="54"/>
      <c r="D54" s="55"/>
      <c r="E54" s="55"/>
      <c r="F54" s="55"/>
      <c r="G54" s="56"/>
      <c r="H54" s="57" t="str">
        <f t="shared" si="24"/>
        <v/>
      </c>
      <c r="I54" s="57" t="str">
        <f>IF(N(E54)=0,"",IF(N(F54)&gt;=Parametros!$B$3,(1/E54)/((1/E54)+(1/F54)),1/E54))</f>
        <v/>
      </c>
      <c r="J54" s="57" t="str">
        <f>IF(OR(H54="",I54=""),"",I54+Parametros!$B$4*(H54-I54))</f>
        <v/>
      </c>
      <c r="K54" s="57" t="str">
        <f t="shared" si="25"/>
        <v/>
      </c>
      <c r="L54" s="57" t="str">
        <f t="shared" si="26"/>
        <v/>
      </c>
      <c r="M54" s="57" t="str">
        <f t="shared" si="27"/>
        <v/>
      </c>
      <c r="N54" s="57" t="str">
        <f t="shared" si="28"/>
        <v/>
      </c>
      <c r="O54" s="57" t="str">
        <f t="shared" si="29"/>
        <v/>
      </c>
      <c r="P54" s="58" t="str">
        <f t="shared" si="30"/>
        <v/>
      </c>
      <c r="Q54" s="58" t="str">
        <f t="shared" si="31"/>
        <v/>
      </c>
      <c r="R54" s="54"/>
      <c r="S54" s="54"/>
      <c r="BC54" t="s">
        <v>164</v>
      </c>
      <c r="BE54" t="s">
        <v>165</v>
      </c>
    </row>
    <row r="55" spans="1:57" x14ac:dyDescent="0.25">
      <c r="A55" s="6"/>
      <c r="B55" s="54"/>
      <c r="C55" s="54"/>
      <c r="D55" s="55"/>
      <c r="E55" s="55"/>
      <c r="F55" s="55"/>
      <c r="G55" s="56"/>
      <c r="H55" s="57" t="str">
        <f t="shared" si="24"/>
        <v/>
      </c>
      <c r="I55" s="57" t="str">
        <f>IF(N(E55)=0,"",IF(N(F55)&gt;=Parametros!$B$3,(1/E55)/((1/E55)+(1/F55)),1/E55))</f>
        <v/>
      </c>
      <c r="J55" s="57" t="str">
        <f>IF(OR(H55="",I55=""),"",I55+Parametros!$B$4*(H55-I55))</f>
        <v/>
      </c>
      <c r="K55" s="57" t="str">
        <f t="shared" si="25"/>
        <v/>
      </c>
      <c r="L55" s="57" t="str">
        <f t="shared" si="26"/>
        <v/>
      </c>
      <c r="M55" s="57" t="str">
        <f t="shared" si="27"/>
        <v/>
      </c>
      <c r="N55" s="57" t="str">
        <f t="shared" si="28"/>
        <v/>
      </c>
      <c r="O55" s="57" t="str">
        <f t="shared" si="29"/>
        <v/>
      </c>
      <c r="P55" s="58" t="str">
        <f t="shared" si="30"/>
        <v/>
      </c>
      <c r="Q55" s="58" t="str">
        <f t="shared" si="31"/>
        <v/>
      </c>
      <c r="R55" s="54"/>
      <c r="S55" s="54"/>
      <c r="BC55" t="s">
        <v>166</v>
      </c>
      <c r="BE55" t="s">
        <v>167</v>
      </c>
    </row>
    <row r="56" spans="1:57" x14ac:dyDescent="0.25">
      <c r="A56" s="6"/>
      <c r="B56" s="54"/>
      <c r="C56" s="54"/>
      <c r="D56" s="55"/>
      <c r="E56" s="55"/>
      <c r="F56" s="55"/>
      <c r="G56" s="56"/>
      <c r="H56" s="57" t="str">
        <f t="shared" si="24"/>
        <v/>
      </c>
      <c r="I56" s="57" t="str">
        <f>IF(N(E56)=0,"",IF(N(F56)&gt;=Parametros!$B$3,(1/E56)/((1/E56)+(1/F56)),1/E56))</f>
        <v/>
      </c>
      <c r="J56" s="57" t="str">
        <f>IF(OR(H56="",I56=""),"",I56+Parametros!$B$4*(H56-I56))</f>
        <v/>
      </c>
      <c r="K56" s="57" t="str">
        <f t="shared" si="25"/>
        <v/>
      </c>
      <c r="L56" s="57" t="str">
        <f t="shared" si="26"/>
        <v/>
      </c>
      <c r="M56" s="57" t="str">
        <f t="shared" si="27"/>
        <v/>
      </c>
      <c r="N56" s="57" t="str">
        <f t="shared" si="28"/>
        <v/>
      </c>
      <c r="O56" s="57" t="str">
        <f t="shared" si="29"/>
        <v/>
      </c>
      <c r="P56" s="58" t="str">
        <f t="shared" si="30"/>
        <v/>
      </c>
      <c r="Q56" s="58" t="str">
        <f t="shared" si="31"/>
        <v/>
      </c>
      <c r="R56" s="54"/>
      <c r="S56" s="54"/>
      <c r="BC56" t="s">
        <v>168</v>
      </c>
      <c r="BE56" t="s">
        <v>169</v>
      </c>
    </row>
    <row r="57" spans="1:57" x14ac:dyDescent="0.25">
      <c r="A57" s="6"/>
      <c r="B57" s="54"/>
      <c r="C57" s="54"/>
      <c r="D57" s="55"/>
      <c r="E57" s="55"/>
      <c r="F57" s="55"/>
      <c r="G57" s="56"/>
      <c r="H57" s="57" t="str">
        <f t="shared" si="24"/>
        <v/>
      </c>
      <c r="I57" s="57" t="str">
        <f>IF(N(E57)=0,"",IF(N(F57)&gt;=Parametros!$B$3,(1/E57)/((1/E57)+(1/F57)),1/E57))</f>
        <v/>
      </c>
      <c r="J57" s="57" t="str">
        <f>IF(OR(H57="",I57=""),"",I57+Parametros!$B$4*(H57-I57))</f>
        <v/>
      </c>
      <c r="K57" s="57" t="str">
        <f t="shared" si="25"/>
        <v/>
      </c>
      <c r="L57" s="57" t="str">
        <f t="shared" si="26"/>
        <v/>
      </c>
      <c r="M57" s="57" t="str">
        <f t="shared" si="27"/>
        <v/>
      </c>
      <c r="N57" s="57" t="str">
        <f t="shared" si="28"/>
        <v/>
      </c>
      <c r="O57" s="57" t="str">
        <f t="shared" si="29"/>
        <v/>
      </c>
      <c r="P57" s="58" t="str">
        <f t="shared" si="30"/>
        <v/>
      </c>
      <c r="Q57" s="58" t="str">
        <f t="shared" si="31"/>
        <v/>
      </c>
      <c r="R57" s="54"/>
      <c r="S57" s="54"/>
      <c r="BC57" t="s">
        <v>170</v>
      </c>
      <c r="BE57" t="s">
        <v>171</v>
      </c>
    </row>
    <row r="58" spans="1:57" x14ac:dyDescent="0.25">
      <c r="A58" s="6"/>
      <c r="B58" s="54"/>
      <c r="C58" s="54"/>
      <c r="D58" s="55"/>
      <c r="E58" s="55"/>
      <c r="F58" s="55"/>
      <c r="G58" s="56"/>
      <c r="H58" s="57" t="str">
        <f t="shared" si="24"/>
        <v/>
      </c>
      <c r="I58" s="57" t="str">
        <f>IF(N(E58)=0,"",IF(N(F58)&gt;=Parametros!$B$3,(1/E58)/((1/E58)+(1/F58)),1/E58))</f>
        <v/>
      </c>
      <c r="J58" s="57" t="str">
        <f>IF(OR(H58="",I58=""),"",I58+Parametros!$B$4*(H58-I58))</f>
        <v/>
      </c>
      <c r="K58" s="57" t="str">
        <f t="shared" si="25"/>
        <v/>
      </c>
      <c r="L58" s="57" t="str">
        <f t="shared" si="26"/>
        <v/>
      </c>
      <c r="M58" s="57" t="str">
        <f t="shared" si="27"/>
        <v/>
      </c>
      <c r="N58" s="57" t="str">
        <f t="shared" si="28"/>
        <v/>
      </c>
      <c r="O58" s="57" t="str">
        <f t="shared" si="29"/>
        <v/>
      </c>
      <c r="P58" s="58" t="str">
        <f t="shared" si="30"/>
        <v/>
      </c>
      <c r="Q58" s="58" t="str">
        <f t="shared" si="31"/>
        <v/>
      </c>
      <c r="R58" s="54"/>
      <c r="S58" s="54"/>
      <c r="BC58" t="s">
        <v>172</v>
      </c>
      <c r="BE58" t="s">
        <v>173</v>
      </c>
    </row>
    <row r="59" spans="1:57" ht="15.75" customHeight="1" thickBot="1" x14ac:dyDescent="0.3">
      <c r="A59" s="19"/>
      <c r="B59" s="59"/>
      <c r="C59" s="59"/>
      <c r="D59" s="60"/>
      <c r="E59" s="60"/>
      <c r="F59" s="60"/>
      <c r="G59" s="61"/>
      <c r="H59" s="62" t="str">
        <f t="shared" si="24"/>
        <v/>
      </c>
      <c r="I59" s="62" t="str">
        <f>IF(N(E59)=0,"",IF(N(F59)&gt;=Parametros!$B$3,(1/E59)/((1/E59)+(1/F59)),1/E59))</f>
        <v/>
      </c>
      <c r="J59" s="62" t="str">
        <f>IF(OR(H59="",I59=""),"",I59+Parametros!$B$4*(H59-I59))</f>
        <v/>
      </c>
      <c r="K59" s="62" t="str">
        <f t="shared" si="25"/>
        <v/>
      </c>
      <c r="L59" s="62" t="str">
        <f t="shared" si="26"/>
        <v/>
      </c>
      <c r="M59" s="62" t="str">
        <f t="shared" si="27"/>
        <v/>
      </c>
      <c r="N59" s="62" t="str">
        <f t="shared" si="28"/>
        <v/>
      </c>
      <c r="O59" s="62" t="str">
        <f t="shared" si="29"/>
        <v/>
      </c>
      <c r="P59" s="63" t="str">
        <f t="shared" si="30"/>
        <v/>
      </c>
      <c r="Q59" s="63" t="str">
        <f t="shared" si="31"/>
        <v/>
      </c>
      <c r="R59" s="59"/>
      <c r="S59" s="59"/>
      <c r="BC59" t="s">
        <v>174</v>
      </c>
      <c r="BE59" t="s">
        <v>175</v>
      </c>
    </row>
    <row r="60" spans="1:57" s="43" customFormat="1" ht="15.75" customHeight="1" thickBot="1" x14ac:dyDescent="0.3">
      <c r="A60" s="110" t="s">
        <v>176</v>
      </c>
      <c r="B60" s="23" t="s">
        <v>77</v>
      </c>
      <c r="C60" s="29" t="str">
        <f>IF(COUNT(H52:H59)=0,"",PRODUCT(H52:H59))</f>
        <v/>
      </c>
      <c r="D60" s="112" t="s">
        <v>78</v>
      </c>
      <c r="E60" s="106"/>
      <c r="F60" s="29" t="str">
        <f>IF(N(D50)&gt;0,1/D50,"")</f>
        <v/>
      </c>
      <c r="G60" s="105" t="s">
        <v>79</v>
      </c>
      <c r="H60" s="106"/>
      <c r="I60" s="30" t="str">
        <f>IF(N(G50)&gt;0,G50,IF(N(D50)&gt;0,1/D50,IF(COUNT(H52:H59)=0,"",PRODUCT(H52:H59))))</f>
        <v/>
      </c>
      <c r="J60" s="23" t="s">
        <v>80</v>
      </c>
      <c r="K60" s="25">
        <f>COUNT(H52:H59)</f>
        <v>0</v>
      </c>
      <c r="L60" s="71" t="str">
        <f>IF(AND(COUNT(H52:H59)&gt;1,N(G50)=0,N(D50)=0),"⚠ 2+ pernas do mesmo jogo sem odd final: o 'produto' está errado — "&amp;"digite a Odd Criar Aposta em D47 (ou o Joint Simulador em G47)","")</f>
        <v/>
      </c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BC60" t="s">
        <v>177</v>
      </c>
      <c r="BE60" t="s">
        <v>178</v>
      </c>
    </row>
    <row r="61" spans="1:57" s="43" customFormat="1" ht="15.75" customHeight="1" thickBot="1" x14ac:dyDescent="0.3">
      <c r="A61" s="111"/>
      <c r="B61" s="85" t="s">
        <v>83</v>
      </c>
      <c r="C61" s="26" t="str">
        <f>IF(COUNT(E52:E59)=0,"",PRODUCT(E52:E59))</f>
        <v/>
      </c>
      <c r="D61" s="103" t="s">
        <v>84</v>
      </c>
      <c r="E61" s="104"/>
      <c r="F61" s="26" t="str">
        <f>IF(N(D50)&gt;0,D50,"")</f>
        <v/>
      </c>
      <c r="G61" s="80" t="s">
        <v>85</v>
      </c>
      <c r="H61" s="31" t="str">
        <f>IF(AND(N(D50)&gt;0,COUNT(E52:E59)&gt;0),D50/PRODUCT(E52:E59)-1,"")</f>
        <v/>
      </c>
      <c r="I61" s="107" t="s">
        <v>86</v>
      </c>
      <c r="J61" s="104"/>
      <c r="K61" s="32" t="str">
        <f>IF(COUNT(I52:I59)=0,"",PRODUCT(I52:I59))</f>
        <v/>
      </c>
      <c r="L61" s="118" t="s">
        <v>87</v>
      </c>
      <c r="M61" s="119"/>
      <c r="N61" s="72" t="str">
        <f>IF(COUNT(J52:J59)=0,"",PRODUCT(J52:J59))</f>
        <v/>
      </c>
      <c r="O61" s="73" t="s">
        <v>88</v>
      </c>
      <c r="P61" s="79"/>
      <c r="Q61" s="79"/>
      <c r="R61" s="79"/>
      <c r="S61" s="79"/>
      <c r="T61" s="74"/>
      <c r="U61" s="75"/>
      <c r="V61" s="76"/>
      <c r="W61" s="76"/>
      <c r="X61" s="76"/>
      <c r="BC61" t="s">
        <v>179</v>
      </c>
      <c r="BE61" t="s">
        <v>180</v>
      </c>
    </row>
    <row r="62" spans="1:57" x14ac:dyDescent="0.25">
      <c r="BC62" t="s">
        <v>181</v>
      </c>
      <c r="BE62" t="s">
        <v>182</v>
      </c>
    </row>
  </sheetData>
  <mergeCells count="47">
    <mergeCell ref="E50:F50"/>
    <mergeCell ref="D60:E60"/>
    <mergeCell ref="D19:E19"/>
    <mergeCell ref="A60:A61"/>
    <mergeCell ref="H36:S36"/>
    <mergeCell ref="D46:E46"/>
    <mergeCell ref="L19:M19"/>
    <mergeCell ref="A50:C50"/>
    <mergeCell ref="I61:J61"/>
    <mergeCell ref="L47:M47"/>
    <mergeCell ref="C21:H21"/>
    <mergeCell ref="L33:M33"/>
    <mergeCell ref="D61:E61"/>
    <mergeCell ref="E36:F36"/>
    <mergeCell ref="G60:H60"/>
    <mergeCell ref="L61:M61"/>
    <mergeCell ref="I47:J47"/>
    <mergeCell ref="I7:J7"/>
    <mergeCell ref="A8:C8"/>
    <mergeCell ref="A22:C22"/>
    <mergeCell ref="A46:A47"/>
    <mergeCell ref="D32:E32"/>
    <mergeCell ref="H22:S22"/>
    <mergeCell ref="G18:H18"/>
    <mergeCell ref="A18:A19"/>
    <mergeCell ref="C7:H7"/>
    <mergeCell ref="K7:S7"/>
    <mergeCell ref="I21:J21"/>
    <mergeCell ref="A32:A33"/>
    <mergeCell ref="D47:E47"/>
    <mergeCell ref="I33:J33"/>
    <mergeCell ref="K5:S5"/>
    <mergeCell ref="H50:S50"/>
    <mergeCell ref="I19:J19"/>
    <mergeCell ref="E22:F22"/>
    <mergeCell ref="C35:H35"/>
    <mergeCell ref="G46:H46"/>
    <mergeCell ref="K21:S21"/>
    <mergeCell ref="K35:S35"/>
    <mergeCell ref="H8:S8"/>
    <mergeCell ref="D18:E18"/>
    <mergeCell ref="K49:S49"/>
    <mergeCell ref="I35:J35"/>
    <mergeCell ref="A36:C36"/>
    <mergeCell ref="D33:E33"/>
    <mergeCell ref="G32:H32"/>
    <mergeCell ref="E8:F8"/>
  </mergeCells>
  <dataValidations count="3">
    <dataValidation type="list" allowBlank="1" showInputMessage="1" promptTitle="Mercado" prompt="Escolha da lista (ou digite o do print da casa)." sqref="A10:A17 A24:A31 A38:A45 A52:A59" xr:uid="{00000000-0002-0000-0000-000000000000}">
      <formula1>$BC$2:$BC$62</formula1>
    </dataValidation>
    <dataValidation type="list" allowBlank="1" showInputMessage="1" promptTitle="escopo/arg" prompt="Contagem: total/casa/fora/ambas. Placar: digite o parâmetro (ex.: home, 2:1)." sqref="S10:S17 S24:S31 S38:S45 S52:S59" xr:uid="{00000000-0002-0000-0000-000001000000}">
      <formula1>$BD$2:$BD$5</formula1>
    </dataValidation>
    <dataValidation type="list" allowBlank="1" showInputMessage="1" promptTitle="chave" prompt="Opcional — só se o exportador não reconhecer o mercado." sqref="R10:R17 R24:R31 R38:R45 R52:R59" xr:uid="{00000000-0002-0000-0000-000002000000}">
      <formula1>$BE$2:$BE$62</formula1>
    </dataValidation>
  </dataValidations>
  <pageMargins left="0.75" right="0.75" top="1" bottom="1" header="0.5" footer="0.5"/>
  <pageSetup paperSize="182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showGridLines="0" workbookViewId="0"/>
  </sheetViews>
  <sheetFormatPr defaultRowHeight="15" x14ac:dyDescent="0.25"/>
  <cols>
    <col min="1" max="1" width="34" style="87" customWidth="1"/>
    <col min="2" max="2" width="19.28515625" style="87" customWidth="1"/>
    <col min="3" max="3" width="10" style="87" customWidth="1"/>
    <col min="4" max="4" width="12" style="87" customWidth="1"/>
    <col min="5" max="5" width="14" style="87" customWidth="1"/>
    <col min="6" max="6" width="15" style="87" customWidth="1"/>
    <col min="7" max="8" width="13" style="87" customWidth="1"/>
  </cols>
  <sheetData>
    <row r="1" spans="1:8" ht="17.25" customHeight="1" x14ac:dyDescent="0.3">
      <c r="A1" s="1" t="s">
        <v>183</v>
      </c>
    </row>
    <row r="2" spans="1:8" x14ac:dyDescent="0.25">
      <c r="A2" s="86" t="s">
        <v>184</v>
      </c>
    </row>
    <row r="3" spans="1:8" x14ac:dyDescent="0.25">
      <c r="A3" s="7" t="str">
        <f>IF(Bilhete!B5="","(bilhete sem casa/ID no cabeçalho)","Casa: "&amp;Bilhete!B5&amp;"   ·   ID: "&amp;Bilhete!D5&amp;"   ·   Stake: R$ "&amp;TEXT(Bilhete!H5,"0.00")&amp;"   ·   "&amp;Bilhete!J5)</f>
        <v>Casa: Superbet   ·   ID: #BW9V   ·   Stake: R$ 003   ·   alavancagem</v>
      </c>
    </row>
    <row r="5" spans="1:8" x14ac:dyDescent="0.25">
      <c r="A5" s="8" t="s">
        <v>185</v>
      </c>
      <c r="B5" s="8" t="s">
        <v>186</v>
      </c>
      <c r="C5" s="8" t="s">
        <v>80</v>
      </c>
      <c r="D5" s="8" t="s">
        <v>79</v>
      </c>
      <c r="E5" s="8" t="s">
        <v>187</v>
      </c>
      <c r="F5" s="8" t="s">
        <v>188</v>
      </c>
      <c r="G5" s="8" t="s">
        <v>189</v>
      </c>
      <c r="H5" s="8" t="s">
        <v>190</v>
      </c>
    </row>
    <row r="6" spans="1:8" x14ac:dyDescent="0.25">
      <c r="A6" s="9" t="s">
        <v>29</v>
      </c>
      <c r="B6" s="9" t="str">
        <f>Bilhete!C7</f>
        <v>Botafogo-RJ x RB Bragantino</v>
      </c>
      <c r="C6" s="9">
        <f>Bilhete!K18</f>
        <v>2</v>
      </c>
      <c r="D6" s="34">
        <f>IF(Bilhete!I18="","",Bilhete!I18)</f>
        <v>0.7407407407407407</v>
      </c>
      <c r="E6" s="35">
        <f>IF(N(Bilhete!D8)&gt;0,Bilhete!D8,IF(COUNT(Bilhete!E10:E17)=0,"",PRODUCT(Bilhete!E10:E17)))</f>
        <v>1.35</v>
      </c>
      <c r="F6" s="9" t="str">
        <f>IF(N(Bilhete!G8)&gt;0,"Simulador",IF(N(Bilhete!D8)&gt;0,"odd final (SGP)",IF(COUNT(Bilhete!H10:H17)&gt;1,"produto ⚠","perna única")))</f>
        <v>odd final (SGP)</v>
      </c>
      <c r="G6" s="34">
        <f>IF(Bilhete!K19="","",Bilhete!K19)</f>
        <v>0.65237651444547995</v>
      </c>
      <c r="H6" s="34">
        <f>IF(Bilhete!N19="","",Bilhete!N19)</f>
        <v>0.70613697980739354</v>
      </c>
    </row>
    <row r="7" spans="1:8" x14ac:dyDescent="0.25">
      <c r="A7" s="9" t="s">
        <v>93</v>
      </c>
      <c r="B7" s="9" t="str">
        <f>Bilhete!C21</f>
        <v>Santos x Cruzeiro</v>
      </c>
      <c r="C7" s="9">
        <f>Bilhete!K32</f>
        <v>2</v>
      </c>
      <c r="D7" s="34">
        <f>IF(Bilhete!I32="","",Bilhete!I32)</f>
        <v>0.64516129032258063</v>
      </c>
      <c r="E7" s="35">
        <f>IF(N(Bilhete!D22)&gt;0,Bilhete!D22,IF(COUNT(Bilhete!E24:E31)=0,"",PRODUCT(Bilhete!E24:E31)))</f>
        <v>1.55</v>
      </c>
      <c r="F7" s="9" t="str">
        <f>IF(N(Bilhete!G22)&gt;0,"Simulador",IF(N(Bilhete!D22)&gt;0,"odd final (SGP)",IF(COUNT(Bilhete!H24:H31)&gt;1,"produto ⚠","perna única")))</f>
        <v>odd final (SGP)</v>
      </c>
      <c r="G7" s="34">
        <f>IF(Bilhete!K33="","",Bilhete!K33)</f>
        <v>0.57253999561691882</v>
      </c>
      <c r="H7" s="34">
        <f>IF(Bilhete!N33="","",Bilhete!N33)</f>
        <v>0.68146391518737681</v>
      </c>
    </row>
    <row r="8" spans="1:8" x14ac:dyDescent="0.25">
      <c r="A8" s="9" t="s">
        <v>123</v>
      </c>
      <c r="B8" s="9">
        <f>Bilhete!C35</f>
        <v>0</v>
      </c>
      <c r="C8" s="9">
        <f>Bilhete!K46</f>
        <v>0</v>
      </c>
      <c r="D8" s="34" t="str">
        <f>IF(Bilhete!I46="","",Bilhete!I46)</f>
        <v/>
      </c>
      <c r="E8" s="35" t="str">
        <f>IF(N(Bilhete!D36)&gt;0,Bilhete!D36,IF(COUNT(Bilhete!E38:E45)=0,"",PRODUCT(Bilhete!E38:E45)))</f>
        <v/>
      </c>
      <c r="F8" s="9" t="str">
        <f>IF(N(Bilhete!G36)&gt;0,"Simulador",IF(N(Bilhete!D36)&gt;0,"odd final (SGP)",IF(COUNT(Bilhete!H38:H45)&gt;1,"produto ⚠","perna única")))</f>
        <v>perna única</v>
      </c>
      <c r="G8" s="34" t="str">
        <f>IF(Bilhete!K47="","",Bilhete!K47)</f>
        <v/>
      </c>
      <c r="H8" s="34" t="str">
        <f>IF(Bilhete!N47="","",Bilhete!N47)</f>
        <v/>
      </c>
    </row>
    <row r="9" spans="1:8" x14ac:dyDescent="0.25">
      <c r="A9" s="9" t="s">
        <v>153</v>
      </c>
      <c r="B9" s="9">
        <f>Bilhete!C49</f>
        <v>0</v>
      </c>
      <c r="C9" s="9">
        <f>Bilhete!K60</f>
        <v>0</v>
      </c>
      <c r="D9" s="34" t="str">
        <f>IF(Bilhete!I60="","",Bilhete!I60)</f>
        <v/>
      </c>
      <c r="E9" s="35" t="str">
        <f>IF(N(Bilhete!D50)&gt;0,Bilhete!D50,IF(COUNT(Bilhete!E52:E59)=0,"",PRODUCT(Bilhete!E52:E59)))</f>
        <v/>
      </c>
      <c r="F9" s="9" t="str">
        <f>IF(N(Bilhete!G50)&gt;0,"Simulador",IF(N(Bilhete!D50)&gt;0,"odd final (SGP)",IF(COUNT(Bilhete!H52:H59)&gt;1,"produto ⚠","perna única")))</f>
        <v>perna única</v>
      </c>
      <c r="G9" s="34" t="str">
        <f>IF(Bilhete!K61="","",Bilhete!K61)</f>
        <v/>
      </c>
      <c r="H9" s="34" t="str">
        <f>IF(Bilhete!N61="","",Bilhete!N61)</f>
        <v/>
      </c>
    </row>
    <row r="11" spans="1:8" x14ac:dyDescent="0.25">
      <c r="A11" s="81" t="s">
        <v>191</v>
      </c>
      <c r="B11" s="10">
        <f>COUNT(D6:D9)</f>
        <v>2</v>
      </c>
    </row>
    <row r="12" spans="1:8" x14ac:dyDescent="0.25">
      <c r="A12" s="81" t="s">
        <v>192</v>
      </c>
      <c r="B12" s="11">
        <f>IF(COUNT(D6:D9)=0,"",PRODUCT(D6:D9))</f>
        <v>0.47789725209080042</v>
      </c>
      <c r="C12" s="123" t="s">
        <v>193</v>
      </c>
      <c r="D12" s="124"/>
      <c r="E12" s="124"/>
      <c r="F12" s="124"/>
      <c r="G12" s="124"/>
      <c r="H12" s="124"/>
    </row>
    <row r="13" spans="1:8" x14ac:dyDescent="0.25">
      <c r="A13" s="81" t="s">
        <v>194</v>
      </c>
      <c r="B13" s="11">
        <f>IF(COUNT(G6:G9)=0,"",PRODUCT(G6:G9))</f>
        <v>0.37351164672119586</v>
      </c>
      <c r="C13" s="123" t="s">
        <v>195</v>
      </c>
      <c r="D13" s="124"/>
      <c r="E13" s="124"/>
      <c r="F13" s="124"/>
      <c r="G13" s="124"/>
      <c r="H13" s="124"/>
    </row>
    <row r="14" spans="1:8" x14ac:dyDescent="0.25">
      <c r="A14" s="81" t="s">
        <v>196</v>
      </c>
      <c r="B14" s="11">
        <f>IF(COUNT(H6:H9)=0,"",PRODUCT(H6:H9))</f>
        <v>0.48120687091813602</v>
      </c>
      <c r="C14" s="123" t="s">
        <v>197</v>
      </c>
      <c r="D14" s="124"/>
      <c r="E14" s="124"/>
      <c r="F14" s="124"/>
      <c r="G14" s="124"/>
      <c r="H14" s="124"/>
    </row>
    <row r="15" spans="1:8" x14ac:dyDescent="0.25">
      <c r="A15" s="81" t="s">
        <v>198</v>
      </c>
      <c r="B15" s="36">
        <v>0</v>
      </c>
      <c r="C15" s="123" t="s">
        <v>199</v>
      </c>
      <c r="D15" s="124"/>
      <c r="E15" s="124"/>
      <c r="F15" s="124"/>
      <c r="G15" s="124"/>
      <c r="H15" s="124"/>
    </row>
    <row r="16" spans="1:8" x14ac:dyDescent="0.25">
      <c r="A16" s="81" t="s">
        <v>200</v>
      </c>
      <c r="B16" s="11">
        <f>IF(B12="","",MAX(0,B12-B15))</f>
        <v>0.47789725209080042</v>
      </c>
      <c r="C16" s="123"/>
      <c r="D16" s="124"/>
      <c r="E16" s="124"/>
      <c r="F16" s="124"/>
      <c r="G16" s="124"/>
      <c r="H16" s="124"/>
    </row>
    <row r="18" spans="1:8" x14ac:dyDescent="0.25">
      <c r="A18" s="81" t="s">
        <v>201</v>
      </c>
      <c r="B18" s="37">
        <f>IF(COUNT(E6:E9)=0,"",PRODUCT(E6:E9))</f>
        <v>2.0925000000000002</v>
      </c>
      <c r="C18" s="123" t="s">
        <v>202</v>
      </c>
      <c r="D18" s="124"/>
      <c r="E18" s="124"/>
      <c r="F18" s="124"/>
      <c r="G18" s="124"/>
      <c r="H18" s="124"/>
    </row>
    <row r="19" spans="1:8" x14ac:dyDescent="0.25">
      <c r="A19" s="81" t="s">
        <v>203</v>
      </c>
      <c r="B19" s="37">
        <f>IF(COUNT(Bilhete!E10:E17,Bilhete!E24:E31,Bilhete!E38:E45,Bilhete!E52:E59)=0,"",PRODUCT(Bilhete!E10:E17,Bilhete!E24:E31,Bilhete!E38:E45,Bilhete!E52:E59))</f>
        <v>2.0281646000000002</v>
      </c>
      <c r="C19" s="123" t="s">
        <v>204</v>
      </c>
      <c r="D19" s="124"/>
      <c r="E19" s="124"/>
      <c r="F19" s="124"/>
      <c r="G19" s="124"/>
      <c r="H19" s="124"/>
    </row>
    <row r="20" spans="1:8" x14ac:dyDescent="0.25">
      <c r="A20" s="81" t="s">
        <v>205</v>
      </c>
      <c r="B20" s="11">
        <f>IF(OR(B13="",B13=0,B19=""),"",(1/B13)/B19-1)</f>
        <v>0.32005690576647816</v>
      </c>
      <c r="C20" s="123" t="s">
        <v>206</v>
      </c>
      <c r="D20" s="124"/>
      <c r="E20" s="124"/>
      <c r="F20" s="124"/>
      <c r="G20" s="124"/>
      <c r="H20" s="124"/>
    </row>
    <row r="21" spans="1:8" x14ac:dyDescent="0.25">
      <c r="A21" s="81" t="s">
        <v>207</v>
      </c>
      <c r="B21" s="37">
        <f>IF(OR(B12="",B12=0),"",1/B12)</f>
        <v>2.0925000000000002</v>
      </c>
      <c r="C21" s="123" t="e">
        <f ca="1">1 / P(bilhete)</f>
        <v>#NAME?</v>
      </c>
      <c r="D21" s="124"/>
      <c r="E21" s="124"/>
      <c r="F21" s="124"/>
      <c r="G21" s="124"/>
      <c r="H21" s="124"/>
    </row>
    <row r="22" spans="1:8" x14ac:dyDescent="0.25">
      <c r="A22" s="81" t="s">
        <v>208</v>
      </c>
      <c r="B22" s="38">
        <f>IF(OR(B18="",Bilhete!$H$5=""),"",Bilhete!$H$5*B18)</f>
        <v>5.6079000000000008</v>
      </c>
      <c r="C22" s="123" t="s">
        <v>209</v>
      </c>
      <c r="D22" s="124"/>
      <c r="E22" s="124"/>
      <c r="F22" s="124"/>
      <c r="G22" s="124"/>
      <c r="H22" s="124"/>
    </row>
    <row r="24" spans="1:8" x14ac:dyDescent="0.25">
      <c r="A24" s="81" t="s">
        <v>210</v>
      </c>
      <c r="B24" s="11">
        <f>IF(OR(B12="",B18=""),"",B12*B18-1)</f>
        <v>0</v>
      </c>
      <c r="C24" s="123"/>
      <c r="D24" s="124"/>
      <c r="E24" s="124"/>
      <c r="F24" s="124"/>
      <c r="G24" s="124"/>
      <c r="H24" s="124"/>
    </row>
    <row r="25" spans="1:8" x14ac:dyDescent="0.25">
      <c r="A25" s="81" t="s">
        <v>211</v>
      </c>
      <c r="B25" s="11">
        <f>IF(OR(B16="",B18=""),"",B16*B18-1)</f>
        <v>0</v>
      </c>
      <c r="C25" s="123" t="s">
        <v>212</v>
      </c>
      <c r="D25" s="124"/>
      <c r="E25" s="124"/>
      <c r="F25" s="124"/>
      <c r="G25" s="124"/>
      <c r="H25" s="124"/>
    </row>
    <row r="26" spans="1:8" x14ac:dyDescent="0.25">
      <c r="A26" s="81" t="s">
        <v>213</v>
      </c>
      <c r="B26" s="11">
        <f>IF(OR(B14="",B18=""),"",B14*B18-1)</f>
        <v>6.9253773961996945E-3</v>
      </c>
      <c r="C26" s="123" t="s">
        <v>214</v>
      </c>
      <c r="D26" s="124"/>
      <c r="E26" s="124"/>
      <c r="F26" s="124"/>
      <c r="G26" s="124"/>
      <c r="H26" s="124"/>
    </row>
    <row r="27" spans="1:8" x14ac:dyDescent="0.25">
      <c r="A27" s="81" t="s">
        <v>215</v>
      </c>
      <c r="B27" s="11">
        <f>IF(OR(B13="",B18=""),"",B13*B18-1)</f>
        <v>-0.21842687923589754</v>
      </c>
      <c r="C27" s="123" t="s">
        <v>216</v>
      </c>
      <c r="D27" s="124"/>
      <c r="E27" s="124"/>
      <c r="F27" s="124"/>
      <c r="G27" s="124"/>
      <c r="H27" s="124"/>
    </row>
    <row r="28" spans="1:8" x14ac:dyDescent="0.25">
      <c r="A28" s="81" t="s">
        <v>217</v>
      </c>
      <c r="B28" s="11">
        <f>IF(B12="","",1-B12)</f>
        <v>0.52210274790919953</v>
      </c>
    </row>
    <row r="29" spans="1:8" x14ac:dyDescent="0.25">
      <c r="A29" s="81" t="s">
        <v>218</v>
      </c>
      <c r="B29" s="11">
        <f>IF(OR(B16="",B18="",B18&lt;=1),"",Parametros!$B$2*MAX(0,B16*B18-1)/(B18-1))</f>
        <v>0</v>
      </c>
      <c r="C29" s="123" t="s">
        <v>219</v>
      </c>
      <c r="D29" s="124"/>
      <c r="E29" s="124"/>
      <c r="F29" s="124"/>
      <c r="G29" s="124"/>
      <c r="H29" s="124"/>
    </row>
    <row r="31" spans="1:8" x14ac:dyDescent="0.25">
      <c r="A31" s="12" t="s">
        <v>220</v>
      </c>
    </row>
    <row r="32" spans="1:8" x14ac:dyDescent="0.25">
      <c r="A32" s="81" t="s">
        <v>221</v>
      </c>
      <c r="B32" s="120" t="str">
        <f>IF(B16="","",IF(B16&gt;=0.6,"sim","NÃO"))</f>
        <v>NÃO</v>
      </c>
      <c r="C32" s="121"/>
      <c r="D32" s="121"/>
      <c r="E32" s="121"/>
      <c r="F32" s="121"/>
      <c r="G32" s="121"/>
      <c r="H32" s="122"/>
    </row>
    <row r="33" spans="1:8" x14ac:dyDescent="0.25">
      <c r="A33" s="81" t="s">
        <v>222</v>
      </c>
      <c r="B33" s="120" t="str">
        <f>IF(B16="","",IF(B16&gt;=0.8,"sim","NÃO"))</f>
        <v>NÃO</v>
      </c>
      <c r="C33" s="121"/>
      <c r="D33" s="121"/>
      <c r="E33" s="121"/>
      <c r="F33" s="121"/>
      <c r="G33" s="121"/>
      <c r="H33" s="122"/>
    </row>
    <row r="34" spans="1:8" x14ac:dyDescent="0.25">
      <c r="A34" s="81" t="s">
        <v>223</v>
      </c>
      <c r="B34" s="120" t="str">
        <f>IF(COUNT(D6:D9)&gt;=3,"⚠ 3+ jogos: a margem se acumula por jogo — EV real abaixo do calculado","ok")</f>
        <v>ok</v>
      </c>
      <c r="C34" s="121"/>
      <c r="D34" s="121"/>
      <c r="E34" s="121"/>
      <c r="F34" s="121"/>
      <c r="G34" s="121"/>
      <c r="H34" s="122"/>
    </row>
    <row r="35" spans="1:8" x14ac:dyDescent="0.25">
      <c r="A35" s="81" t="s">
        <v>224</v>
      </c>
      <c r="B35" s="120" t="str">
        <f>IF(COUNTIF(F6:F9,"produto ⚠")&gt;0,"⚠ algum jogo com 2+ pernas sem odd Criar Aposta — digite a odd","ok")</f>
        <v>ok</v>
      </c>
      <c r="C35" s="121"/>
      <c r="D35" s="121"/>
      <c r="E35" s="121"/>
      <c r="F35" s="121"/>
      <c r="G35" s="121"/>
      <c r="H35" s="122"/>
    </row>
    <row r="36" spans="1:8" x14ac:dyDescent="0.25">
      <c r="A36" s="81" t="s">
        <v>225</v>
      </c>
      <c r="B36" s="120" t="str">
        <f>IF(COUNTIF(Bilhete!P1:P60,"ALTA")&gt;0,"⚠ há perna com discordância &gt;10pp — risco, não valor (ver aba Bilhete)","ok")</f>
        <v>⚠ há perna com discordância &gt;10pp — risco, não valor (ver aba Bilhete)</v>
      </c>
      <c r="C36" s="121"/>
      <c r="D36" s="121"/>
      <c r="E36" s="121"/>
      <c r="F36" s="121"/>
      <c r="G36" s="121"/>
      <c r="H36" s="122"/>
    </row>
    <row r="37" spans="1:8" x14ac:dyDescent="0.25">
      <c r="A37" s="81" t="s">
        <v>226</v>
      </c>
      <c r="B37" s="120" t="str">
        <f>IF(OR(Bilhete!B5="",Bilhete!D5="",Bilhete!H5=""),"⚠ preencha Casa / ID / Stake no topo da aba Bilhete antes de exportar","ok")</f>
        <v>ok</v>
      </c>
      <c r="C37" s="121"/>
      <c r="D37" s="121"/>
      <c r="E37" s="121"/>
      <c r="F37" s="121"/>
      <c r="G37" s="121"/>
      <c r="H37" s="122"/>
    </row>
    <row r="40" spans="1:8" x14ac:dyDescent="0.25">
      <c r="A40" s="86" t="s">
        <v>227</v>
      </c>
    </row>
    <row r="41" spans="1:8" x14ac:dyDescent="0.25">
      <c r="A41" s="86" t="s">
        <v>228</v>
      </c>
    </row>
    <row r="42" spans="1:8" x14ac:dyDescent="0.25">
      <c r="A42" s="86"/>
    </row>
    <row r="43" spans="1:8" x14ac:dyDescent="0.25">
      <c r="A43" s="86" t="s">
        <v>229</v>
      </c>
    </row>
  </sheetData>
  <mergeCells count="21">
    <mergeCell ref="C16:H16"/>
    <mergeCell ref="C22:H22"/>
    <mergeCell ref="B33:H33"/>
    <mergeCell ref="C12:H12"/>
    <mergeCell ref="C19:H19"/>
    <mergeCell ref="C13:H13"/>
    <mergeCell ref="C18:H18"/>
    <mergeCell ref="C15:H15"/>
    <mergeCell ref="C14:H14"/>
    <mergeCell ref="C20:H20"/>
    <mergeCell ref="B37:H37"/>
    <mergeCell ref="C21:H21"/>
    <mergeCell ref="B36:H36"/>
    <mergeCell ref="B32:H32"/>
    <mergeCell ref="C27:H27"/>
    <mergeCell ref="B35:H35"/>
    <mergeCell ref="C24:H24"/>
    <mergeCell ref="B34:H34"/>
    <mergeCell ref="C26:H26"/>
    <mergeCell ref="C29:H29"/>
    <mergeCell ref="C25:H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showGridLines="0" workbookViewId="0"/>
  </sheetViews>
  <sheetFormatPr defaultRowHeight="15" x14ac:dyDescent="0.25"/>
  <cols>
    <col min="1" max="1" width="36" style="87" customWidth="1"/>
    <col min="2" max="3" width="12" style="87" customWidth="1"/>
    <col min="4" max="4" width="26" style="87" customWidth="1"/>
    <col min="5" max="5" width="12" style="87" customWidth="1"/>
    <col min="6" max="6" width="70" style="87" customWidth="1"/>
  </cols>
  <sheetData>
    <row r="1" spans="1:6" ht="17.25" customHeight="1" x14ac:dyDescent="0.3">
      <c r="A1" s="1" t="s">
        <v>230</v>
      </c>
    </row>
    <row r="2" spans="1:6" x14ac:dyDescent="0.25">
      <c r="A2" s="86" t="s">
        <v>231</v>
      </c>
    </row>
    <row r="4" spans="1:6" x14ac:dyDescent="0.25">
      <c r="A4" s="81" t="s">
        <v>232</v>
      </c>
      <c r="B4" s="39">
        <v>1.1200000000000001</v>
      </c>
      <c r="D4" s="81" t="s">
        <v>233</v>
      </c>
      <c r="E4" s="11">
        <f>SUMIF($A$15:$A$35,"&lt;="&amp;FLOOR($B$5,1),$B$15:$B$35)</f>
        <v>0.89635585178841404</v>
      </c>
      <c r="F4" s="86" t="s">
        <v>234</v>
      </c>
    </row>
    <row r="5" spans="1:6" x14ac:dyDescent="0.25">
      <c r="A5" s="81" t="s">
        <v>235</v>
      </c>
      <c r="B5" s="13">
        <v>2.5</v>
      </c>
      <c r="D5" s="81" t="s">
        <v>236</v>
      </c>
      <c r="E5" s="11">
        <f>1-SUMIF($A$15:$A$35,"&lt;="&amp;FLOOR($B$5,1),$B$15:$B$35)</f>
        <v>0.10364414821158596</v>
      </c>
    </row>
    <row r="6" spans="1:6" x14ac:dyDescent="0.25">
      <c r="A6" s="81" t="s">
        <v>237</v>
      </c>
      <c r="B6" s="13"/>
      <c r="D6" s="81" t="s">
        <v>238</v>
      </c>
      <c r="E6" s="37">
        <f>IFERROR(1/(SUMIF($A$15:$A$35,"&lt;="&amp;FLOOR($B$5,1),$B$15:$B$35)),"")</f>
        <v>1.115628350062974</v>
      </c>
      <c r="F6" s="86" t="s">
        <v>239</v>
      </c>
    </row>
    <row r="7" spans="1:6" x14ac:dyDescent="0.25">
      <c r="A7" s="81" t="s">
        <v>240</v>
      </c>
      <c r="B7" s="14">
        <v>3</v>
      </c>
      <c r="D7" s="81" t="s">
        <v>241</v>
      </c>
      <c r="E7" s="37">
        <f>IFERROR(1/(1-(SUMIF($A$15:$A$35,"&lt;="&amp;FLOOR($B$5,1),$B$15:$B$35))),"")</f>
        <v>9.6483980741347253</v>
      </c>
    </row>
    <row r="8" spans="1:6" x14ac:dyDescent="0.25">
      <c r="A8" s="81" t="s">
        <v>242</v>
      </c>
      <c r="B8" s="14">
        <v>1</v>
      </c>
      <c r="D8" s="81" t="s">
        <v>243</v>
      </c>
      <c r="E8" s="11">
        <f>SUMIF($A$15:$A$35,$B$7,$B$15:$B$35)</f>
        <v>7.6399936550026276E-2</v>
      </c>
      <c r="F8" s="86" t="s">
        <v>244</v>
      </c>
    </row>
    <row r="9" spans="1:6" x14ac:dyDescent="0.25">
      <c r="A9" s="81" t="s">
        <v>245</v>
      </c>
      <c r="B9" s="14">
        <v>4</v>
      </c>
      <c r="D9" s="81" t="s">
        <v>246</v>
      </c>
      <c r="E9" s="11">
        <f>SUMIFS($B$15:$B$35,$A$15:$A$35,"&gt;="&amp;$B$8,$A$15:$A$35,"&lt;="&amp;$B$9)</f>
        <v>0.66786797594940828</v>
      </c>
    </row>
    <row r="10" spans="1:6" x14ac:dyDescent="0.25">
      <c r="A10" s="81" t="s">
        <v>247</v>
      </c>
      <c r="B10" s="13">
        <v>1.1100000000000001</v>
      </c>
      <c r="D10" s="81" t="s">
        <v>248</v>
      </c>
      <c r="E10" s="11">
        <f>IF(N($B$10)&gt;0,1/$B$10,"")</f>
        <v>0.9009009009009008</v>
      </c>
      <c r="F10" s="86" t="s">
        <v>249</v>
      </c>
    </row>
    <row r="11" spans="1:6" x14ac:dyDescent="0.25">
      <c r="D11" s="81" t="s">
        <v>250</v>
      </c>
      <c r="E11" s="11">
        <f>IF(N($B$10)&gt;0,(SUMIF($A$15:$A$35,"&lt;="&amp;FLOOR($B$5,1),$B$15:$B$35))-1/$B$10,"")</f>
        <v>-4.5450491124867654E-3</v>
      </c>
    </row>
    <row r="13" spans="1:6" x14ac:dyDescent="0.25">
      <c r="A13" s="12" t="s">
        <v>251</v>
      </c>
    </row>
    <row r="14" spans="1:6" x14ac:dyDescent="0.25">
      <c r="A14" s="8" t="s">
        <v>252</v>
      </c>
      <c r="B14" s="8" t="s">
        <v>253</v>
      </c>
      <c r="C14" s="8" t="s">
        <v>254</v>
      </c>
    </row>
    <row r="15" spans="1:6" x14ac:dyDescent="0.25">
      <c r="A15">
        <v>0</v>
      </c>
      <c r="B15" s="15">
        <f t="shared" ref="B15:B35" si="0">IF(N($B$6)&gt;0,NEGBINOMDIST(A15,$B$6,$B$6/($B$6+$B$4)),POISSON(A15,$B$4,FALSE))</f>
        <v>0.32627979462303947</v>
      </c>
      <c r="C15" s="15">
        <f>SUM($B$15:B15)</f>
        <v>0.32627979462303947</v>
      </c>
    </row>
    <row r="16" spans="1:6" x14ac:dyDescent="0.25">
      <c r="A16">
        <v>1</v>
      </c>
      <c r="B16" s="15">
        <f t="shared" si="0"/>
        <v>0.36543336997780418</v>
      </c>
      <c r="C16" s="15">
        <f>SUM($B$15:B16)</f>
        <v>0.69171316460084364</v>
      </c>
    </row>
    <row r="17" spans="1:3" x14ac:dyDescent="0.25">
      <c r="A17">
        <v>2</v>
      </c>
      <c r="B17" s="15">
        <f t="shared" si="0"/>
        <v>0.20464268718757042</v>
      </c>
      <c r="C17" s="15">
        <f>SUM($B$15:B17)</f>
        <v>0.89635585178841404</v>
      </c>
    </row>
    <row r="18" spans="1:3" x14ac:dyDescent="0.25">
      <c r="A18">
        <v>3</v>
      </c>
      <c r="B18" s="15">
        <f t="shared" si="0"/>
        <v>7.6399936550026276E-2</v>
      </c>
      <c r="C18" s="15">
        <f>SUM($B$15:B18)</f>
        <v>0.97275578833844034</v>
      </c>
    </row>
    <row r="19" spans="1:3" x14ac:dyDescent="0.25">
      <c r="A19">
        <v>4</v>
      </c>
      <c r="B19" s="15">
        <f t="shared" si="0"/>
        <v>2.1391982234007366E-2</v>
      </c>
      <c r="C19" s="15">
        <f>SUM($B$15:B19)</f>
        <v>0.99414777057244774</v>
      </c>
    </row>
    <row r="20" spans="1:3" x14ac:dyDescent="0.25">
      <c r="A20">
        <v>5</v>
      </c>
      <c r="B20" s="15">
        <f t="shared" si="0"/>
        <v>4.7918040204176487E-3</v>
      </c>
      <c r="C20" s="15">
        <f>SUM($B$15:B20)</f>
        <v>0.99893957459286542</v>
      </c>
    </row>
    <row r="21" spans="1:3" x14ac:dyDescent="0.25">
      <c r="A21">
        <v>6</v>
      </c>
      <c r="B21" s="15">
        <f t="shared" si="0"/>
        <v>8.9447008381129359E-4</v>
      </c>
      <c r="C21" s="15">
        <f>SUM($B$15:B21)</f>
        <v>0.99983404467667669</v>
      </c>
    </row>
    <row r="22" spans="1:3" x14ac:dyDescent="0.25">
      <c r="A22">
        <v>7</v>
      </c>
      <c r="B22" s="15">
        <f t="shared" si="0"/>
        <v>1.4311521340980727E-4</v>
      </c>
      <c r="C22" s="15">
        <f>SUM($B$15:B22)</f>
        <v>0.99997715989008651</v>
      </c>
    </row>
    <row r="23" spans="1:3" x14ac:dyDescent="0.25">
      <c r="A23">
        <v>8</v>
      </c>
      <c r="B23" s="15">
        <f t="shared" si="0"/>
        <v>2.0036129877373016E-5</v>
      </c>
      <c r="C23" s="15">
        <f>SUM($B$15:B23)</f>
        <v>0.99999719601996384</v>
      </c>
    </row>
    <row r="24" spans="1:3" x14ac:dyDescent="0.25">
      <c r="A24">
        <v>9</v>
      </c>
      <c r="B24" s="15">
        <f t="shared" si="0"/>
        <v>2.4933850514064231E-6</v>
      </c>
      <c r="C24" s="15">
        <f>SUM($B$15:B24)</f>
        <v>0.99999968940501527</v>
      </c>
    </row>
    <row r="25" spans="1:3" x14ac:dyDescent="0.25">
      <c r="A25">
        <v>10</v>
      </c>
      <c r="B25" s="15">
        <f t="shared" si="0"/>
        <v>2.7925912575751938E-7</v>
      </c>
      <c r="C25" s="15">
        <f>SUM($B$15:B25)</f>
        <v>0.99999996866414098</v>
      </c>
    </row>
    <row r="26" spans="1:3" x14ac:dyDescent="0.25">
      <c r="A26">
        <v>11</v>
      </c>
      <c r="B26" s="15">
        <f t="shared" si="0"/>
        <v>2.8433656440765523E-8</v>
      </c>
      <c r="C26" s="15">
        <f>SUM($B$15:B26)</f>
        <v>0.99999999709779741</v>
      </c>
    </row>
    <row r="27" spans="1:3" x14ac:dyDescent="0.25">
      <c r="A27">
        <v>12</v>
      </c>
      <c r="B27" s="15">
        <f t="shared" si="0"/>
        <v>2.6538079344714398E-9</v>
      </c>
      <c r="C27" s="15">
        <f>SUM($B$15:B27)</f>
        <v>0.99999999975160536</v>
      </c>
    </row>
    <row r="28" spans="1:3" x14ac:dyDescent="0.25">
      <c r="A28">
        <v>13</v>
      </c>
      <c r="B28" s="15">
        <f t="shared" si="0"/>
        <v>2.2863576050830937E-10</v>
      </c>
      <c r="C28" s="15">
        <f>SUM($B$15:B28)</f>
        <v>0.99999999998024114</v>
      </c>
    </row>
    <row r="29" spans="1:3" x14ac:dyDescent="0.25">
      <c r="A29">
        <v>14</v>
      </c>
      <c r="B29" s="15">
        <f t="shared" si="0"/>
        <v>1.829086084066485E-11</v>
      </c>
      <c r="C29" s="15">
        <f>SUM($B$15:B29)</f>
        <v>0.99999999999853195</v>
      </c>
    </row>
    <row r="30" spans="1:3" x14ac:dyDescent="0.25">
      <c r="A30">
        <v>15</v>
      </c>
      <c r="B30" s="15">
        <f t="shared" si="0"/>
        <v>1.3657176094363013E-12</v>
      </c>
      <c r="C30" s="15">
        <f>SUM($B$15:B30)</f>
        <v>0.99999999999989764</v>
      </c>
    </row>
    <row r="31" spans="1:3" x14ac:dyDescent="0.25">
      <c r="A31">
        <v>16</v>
      </c>
      <c r="B31" s="15">
        <f t="shared" si="0"/>
        <v>9.5600232660541395E-14</v>
      </c>
      <c r="C31" s="15">
        <f>SUM($B$15:B31)</f>
        <v>0.99999999999999323</v>
      </c>
    </row>
    <row r="32" spans="1:3" x14ac:dyDescent="0.25">
      <c r="A32">
        <v>17</v>
      </c>
      <c r="B32" s="15">
        <f t="shared" si="0"/>
        <v>6.298368269400342E-15</v>
      </c>
      <c r="C32" s="15">
        <f>SUM($B$15:B32)</f>
        <v>0.99999999999999956</v>
      </c>
    </row>
    <row r="33" spans="1:3" x14ac:dyDescent="0.25">
      <c r="A33">
        <v>18</v>
      </c>
      <c r="B33" s="15">
        <f t="shared" si="0"/>
        <v>3.9189847009602409E-16</v>
      </c>
      <c r="C33" s="15">
        <f>SUM($B$15:B33)</f>
        <v>1</v>
      </c>
    </row>
    <row r="34" spans="1:3" x14ac:dyDescent="0.25">
      <c r="A34">
        <v>19</v>
      </c>
      <c r="B34" s="15">
        <f t="shared" si="0"/>
        <v>2.3101383500397312E-17</v>
      </c>
      <c r="C34" s="15">
        <f>SUM($B$15:B34)</f>
        <v>1</v>
      </c>
    </row>
    <row r="35" spans="1:3" x14ac:dyDescent="0.25">
      <c r="A35">
        <v>20</v>
      </c>
      <c r="B35" s="15">
        <f t="shared" si="0"/>
        <v>1.2936774760222488E-18</v>
      </c>
      <c r="C35" s="15">
        <f>SUM($B$15:B35)</f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showGridLines="0" workbookViewId="0"/>
  </sheetViews>
  <sheetFormatPr defaultRowHeight="15" x14ac:dyDescent="0.25"/>
  <cols>
    <col min="1" max="1" width="44" style="87" customWidth="1"/>
    <col min="2" max="3" width="12" style="87" customWidth="1"/>
    <col min="4" max="4" width="22" style="87" customWidth="1"/>
    <col min="5" max="5" width="72" style="87" customWidth="1"/>
  </cols>
  <sheetData>
    <row r="1" spans="1:5" ht="17.25" customHeight="1" x14ac:dyDescent="0.3">
      <c r="A1" s="1" t="s">
        <v>255</v>
      </c>
    </row>
    <row r="2" spans="1:5" x14ac:dyDescent="0.25">
      <c r="A2" s="86" t="s">
        <v>256</v>
      </c>
    </row>
    <row r="4" spans="1:5" x14ac:dyDescent="0.25">
      <c r="A4" s="8" t="s">
        <v>257</v>
      </c>
      <c r="B4" s="8" t="s">
        <v>258</v>
      </c>
      <c r="C4" s="8" t="s">
        <v>259</v>
      </c>
      <c r="D4" s="8" t="s">
        <v>260</v>
      </c>
      <c r="E4" s="8" t="s">
        <v>261</v>
      </c>
    </row>
    <row r="5" spans="1:5" x14ac:dyDescent="0.25">
      <c r="A5" t="s">
        <v>262</v>
      </c>
      <c r="B5" t="s">
        <v>263</v>
      </c>
      <c r="C5" s="40">
        <v>-0.219</v>
      </c>
      <c r="D5" s="16" t="s">
        <v>264</v>
      </c>
      <c r="E5" s="86" t="s">
        <v>265</v>
      </c>
    </row>
    <row r="6" spans="1:5" x14ac:dyDescent="0.25">
      <c r="A6" t="s">
        <v>266</v>
      </c>
      <c r="B6" t="s">
        <v>263</v>
      </c>
      <c r="C6" s="40">
        <v>0.13100000000000001</v>
      </c>
      <c r="D6" s="16" t="s">
        <v>264</v>
      </c>
      <c r="E6" s="86" t="s">
        <v>267</v>
      </c>
    </row>
    <row r="7" spans="1:5" x14ac:dyDescent="0.25">
      <c r="A7" t="s">
        <v>268</v>
      </c>
      <c r="B7" t="s">
        <v>263</v>
      </c>
      <c r="C7" s="40">
        <v>0.13800000000000001</v>
      </c>
      <c r="D7" s="16" t="s">
        <v>264</v>
      </c>
      <c r="E7" s="86" t="s">
        <v>269</v>
      </c>
    </row>
    <row r="8" spans="1:5" x14ac:dyDescent="0.25">
      <c r="A8" t="s">
        <v>270</v>
      </c>
      <c r="B8" t="s">
        <v>263</v>
      </c>
      <c r="C8" s="40">
        <v>0.55000000000000004</v>
      </c>
      <c r="D8" s="17" t="s">
        <v>271</v>
      </c>
      <c r="E8" s="86" t="s">
        <v>272</v>
      </c>
    </row>
    <row r="9" spans="1:5" x14ac:dyDescent="0.25">
      <c r="A9" t="s">
        <v>273</v>
      </c>
      <c r="B9" t="s">
        <v>263</v>
      </c>
      <c r="C9" s="40">
        <v>0.15</v>
      </c>
      <c r="D9" s="17" t="s">
        <v>271</v>
      </c>
      <c r="E9" s="86" t="s">
        <v>274</v>
      </c>
    </row>
    <row r="10" spans="1:5" x14ac:dyDescent="0.25">
      <c r="A10" t="s">
        <v>275</v>
      </c>
      <c r="B10" t="s">
        <v>263</v>
      </c>
      <c r="C10" s="40">
        <v>0.1</v>
      </c>
      <c r="D10" s="17" t="s">
        <v>271</v>
      </c>
      <c r="E10" s="86" t="s">
        <v>276</v>
      </c>
    </row>
    <row r="11" spans="1:5" x14ac:dyDescent="0.25">
      <c r="A11" t="s">
        <v>277</v>
      </c>
      <c r="B11" t="s">
        <v>263</v>
      </c>
      <c r="C11" s="40">
        <v>0.35</v>
      </c>
      <c r="D11" s="17" t="s">
        <v>271</v>
      </c>
      <c r="E11" s="86" t="s">
        <v>278</v>
      </c>
    </row>
    <row r="12" spans="1:5" x14ac:dyDescent="0.25">
      <c r="A12" t="s">
        <v>279</v>
      </c>
      <c r="B12" t="s">
        <v>263</v>
      </c>
      <c r="C12" s="40">
        <v>-0.1</v>
      </c>
      <c r="D12" s="17" t="s">
        <v>271</v>
      </c>
      <c r="E12" s="86" t="s">
        <v>280</v>
      </c>
    </row>
    <row r="13" spans="1:5" x14ac:dyDescent="0.25">
      <c r="A13" t="s">
        <v>281</v>
      </c>
      <c r="B13" t="s">
        <v>263</v>
      </c>
      <c r="C13" s="40">
        <v>0.1</v>
      </c>
      <c r="D13" s="17" t="s">
        <v>271</v>
      </c>
      <c r="E13" s="86" t="s">
        <v>282</v>
      </c>
    </row>
    <row r="14" spans="1:5" x14ac:dyDescent="0.25">
      <c r="A14" t="s">
        <v>283</v>
      </c>
      <c r="B14" t="s">
        <v>263</v>
      </c>
      <c r="C14" s="40">
        <v>0.6</v>
      </c>
      <c r="D14" s="17" t="s">
        <v>271</v>
      </c>
      <c r="E14" s="86" t="s">
        <v>284</v>
      </c>
    </row>
    <row r="15" spans="1:5" x14ac:dyDescent="0.25">
      <c r="A15" t="s">
        <v>285</v>
      </c>
      <c r="B15" t="s">
        <v>286</v>
      </c>
      <c r="C15" s="40">
        <v>0</v>
      </c>
      <c r="D15" s="17" t="s">
        <v>287</v>
      </c>
      <c r="E15" s="86" t="s">
        <v>288</v>
      </c>
    </row>
    <row r="18" spans="1:5" x14ac:dyDescent="0.25">
      <c r="A18" s="12" t="s">
        <v>289</v>
      </c>
    </row>
    <row r="19" spans="1:5" x14ac:dyDescent="0.25">
      <c r="A19" s="81" t="s">
        <v>290</v>
      </c>
      <c r="B19" s="27">
        <v>0.9</v>
      </c>
    </row>
    <row r="20" spans="1:5" x14ac:dyDescent="0.25">
      <c r="A20" s="81" t="s">
        <v>291</v>
      </c>
      <c r="B20" s="27">
        <v>0.93</v>
      </c>
    </row>
    <row r="21" spans="1:5" x14ac:dyDescent="0.25">
      <c r="A21" s="81" t="s">
        <v>292</v>
      </c>
      <c r="B21" s="41">
        <v>0.1</v>
      </c>
    </row>
    <row r="22" spans="1:5" x14ac:dyDescent="0.25">
      <c r="A22" s="81" t="s">
        <v>293</v>
      </c>
      <c r="B22" s="28">
        <f>B19*B20+B21*SQRT(B19*(1-B19)*B20*(1-B20))</f>
        <v>0.84465441049330392</v>
      </c>
    </row>
    <row r="23" spans="1:5" x14ac:dyDescent="0.25">
      <c r="A23" s="81" t="s">
        <v>294</v>
      </c>
      <c r="B23" s="28">
        <f>B19*B20</f>
        <v>0.83700000000000008</v>
      </c>
    </row>
    <row r="24" spans="1:5" x14ac:dyDescent="0.25">
      <c r="A24" s="81" t="s">
        <v>295</v>
      </c>
      <c r="B24" s="28">
        <f>B22-B23</f>
        <v>7.6544104933038426E-3</v>
      </c>
    </row>
    <row r="25" spans="1:5" x14ac:dyDescent="0.25">
      <c r="A25" s="81" t="s">
        <v>296</v>
      </c>
      <c r="B25" s="28">
        <f>B19+B20-B22</f>
        <v>0.98534558950669615</v>
      </c>
    </row>
    <row r="26" spans="1:5" x14ac:dyDescent="0.25">
      <c r="A26" s="81" t="s">
        <v>297</v>
      </c>
      <c r="B26" s="28">
        <f>MAX(0,B19+B20-1)</f>
        <v>0.83000000000000007</v>
      </c>
    </row>
    <row r="27" spans="1:5" x14ac:dyDescent="0.25">
      <c r="A27" s="81" t="s">
        <v>298</v>
      </c>
      <c r="B27" s="28">
        <f>MIN(B19,B20)</f>
        <v>0.9</v>
      </c>
    </row>
    <row r="29" spans="1:5" x14ac:dyDescent="0.25">
      <c r="A29" s="123" t="s">
        <v>299</v>
      </c>
      <c r="B29" s="124"/>
      <c r="C29" s="124"/>
      <c r="D29" s="124"/>
      <c r="E29" s="124"/>
    </row>
  </sheetData>
  <mergeCells count="1">
    <mergeCell ref="A29:E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showGridLines="0" workbookViewId="0"/>
  </sheetViews>
  <sheetFormatPr defaultRowHeight="15" x14ac:dyDescent="0.25"/>
  <cols>
    <col min="1" max="1" width="40" style="87" customWidth="1"/>
    <col min="2" max="2" width="12" style="87" customWidth="1"/>
    <col min="3" max="3" width="82" style="87" customWidth="1"/>
  </cols>
  <sheetData>
    <row r="1" spans="1:3" ht="17.25" customHeight="1" x14ac:dyDescent="0.3">
      <c r="A1" s="1" t="s">
        <v>300</v>
      </c>
    </row>
    <row r="2" spans="1:3" x14ac:dyDescent="0.25">
      <c r="A2" s="81" t="s">
        <v>301</v>
      </c>
      <c r="B2" s="36">
        <v>0.25</v>
      </c>
      <c r="C2" s="86" t="s">
        <v>302</v>
      </c>
    </row>
    <row r="3" spans="1:3" x14ac:dyDescent="0.25">
      <c r="A3" s="81" t="s">
        <v>303</v>
      </c>
      <c r="B3" s="13">
        <v>1.01</v>
      </c>
      <c r="C3" s="86" t="s">
        <v>304</v>
      </c>
    </row>
    <row r="4" spans="1:3" x14ac:dyDescent="0.25">
      <c r="A4" s="81" t="s">
        <v>305</v>
      </c>
      <c r="B4" s="36">
        <v>0.7</v>
      </c>
      <c r="C4" s="86" t="s">
        <v>306</v>
      </c>
    </row>
    <row r="6" spans="1:3" x14ac:dyDescent="0.25">
      <c r="A6" s="86" t="s">
        <v>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showGridLines="0" workbookViewId="0"/>
  </sheetViews>
  <sheetFormatPr defaultRowHeight="15" x14ac:dyDescent="0.25"/>
  <cols>
    <col min="1" max="1" width="24" style="87" customWidth="1"/>
    <col min="2" max="2" width="104" style="87" customWidth="1"/>
  </cols>
  <sheetData>
    <row r="1" spans="1:2" ht="17.25" customHeight="1" x14ac:dyDescent="0.3">
      <c r="A1" s="1" t="s">
        <v>308</v>
      </c>
    </row>
    <row r="3" spans="1:2" ht="30" customHeight="1" x14ac:dyDescent="0.25">
      <c r="A3" s="81" t="s">
        <v>309</v>
      </c>
      <c r="B3" s="18" t="s">
        <v>310</v>
      </c>
    </row>
    <row r="4" spans="1:2" ht="30" customHeight="1" x14ac:dyDescent="0.25">
      <c r="A4" s="81" t="s">
        <v>311</v>
      </c>
      <c r="B4" s="18" t="s">
        <v>312</v>
      </c>
    </row>
    <row r="5" spans="1:2" ht="30" customHeight="1" x14ac:dyDescent="0.25">
      <c r="A5" s="81" t="s">
        <v>313</v>
      </c>
      <c r="B5" s="18" t="s">
        <v>314</v>
      </c>
    </row>
    <row r="6" spans="1:2" ht="30" customHeight="1" x14ac:dyDescent="0.25">
      <c r="A6" s="81" t="s">
        <v>45</v>
      </c>
      <c r="B6" s="18" t="s">
        <v>315</v>
      </c>
    </row>
    <row r="7" spans="1:2" ht="30" customHeight="1" x14ac:dyDescent="0.25">
      <c r="A7" s="81" t="s">
        <v>316</v>
      </c>
      <c r="B7" s="18" t="s">
        <v>317</v>
      </c>
    </row>
    <row r="8" spans="1:2" ht="30" customHeight="1" x14ac:dyDescent="0.25">
      <c r="A8" s="42" t="s">
        <v>49</v>
      </c>
      <c r="B8" s="18" t="s">
        <v>318</v>
      </c>
    </row>
    <row r="9" spans="1:2" ht="30" customHeight="1" x14ac:dyDescent="0.25">
      <c r="A9" s="42" t="s">
        <v>50</v>
      </c>
      <c r="B9" s="18" t="s">
        <v>319</v>
      </c>
    </row>
    <row r="10" spans="1:2" ht="30" customHeight="1" x14ac:dyDescent="0.25">
      <c r="A10" s="81" t="s">
        <v>320</v>
      </c>
      <c r="B10" s="18" t="s">
        <v>321</v>
      </c>
    </row>
    <row r="11" spans="1:2" ht="30" customHeight="1" x14ac:dyDescent="0.25">
      <c r="A11" s="81" t="s">
        <v>322</v>
      </c>
      <c r="B11" s="18" t="s">
        <v>323</v>
      </c>
    </row>
    <row r="12" spans="1:2" ht="30" customHeight="1" x14ac:dyDescent="0.25">
      <c r="A12" s="81" t="s">
        <v>324</v>
      </c>
      <c r="B12" s="18" t="s">
        <v>325</v>
      </c>
    </row>
    <row r="13" spans="1:2" ht="30" customHeight="1" x14ac:dyDescent="0.25">
      <c r="A13" s="81" t="s">
        <v>79</v>
      </c>
      <c r="B13" s="18" t="s">
        <v>326</v>
      </c>
    </row>
    <row r="14" spans="1:2" ht="30" customHeight="1" x14ac:dyDescent="0.25">
      <c r="A14" s="81" t="s">
        <v>327</v>
      </c>
      <c r="B14" s="18" t="s">
        <v>328</v>
      </c>
    </row>
    <row r="15" spans="1:2" ht="30" customHeight="1" x14ac:dyDescent="0.25">
      <c r="A15" s="81" t="s">
        <v>329</v>
      </c>
      <c r="B15" s="18" t="s">
        <v>330</v>
      </c>
    </row>
    <row r="16" spans="1:2" ht="30" customHeight="1" x14ac:dyDescent="0.25">
      <c r="A16" s="81" t="s">
        <v>331</v>
      </c>
      <c r="B16" s="18" t="s">
        <v>332</v>
      </c>
    </row>
    <row r="17" spans="1:2" ht="30" customHeight="1" x14ac:dyDescent="0.25">
      <c r="A17" s="81" t="s">
        <v>333</v>
      </c>
      <c r="B17" s="18" t="s">
        <v>334</v>
      </c>
    </row>
    <row r="18" spans="1:2" x14ac:dyDescent="0.25">
      <c r="A18" s="81" t="s">
        <v>335</v>
      </c>
      <c r="B18" s="18" t="s">
        <v>336</v>
      </c>
    </row>
    <row r="19" spans="1:2" x14ac:dyDescent="0.25">
      <c r="A19" s="81" t="s">
        <v>337</v>
      </c>
      <c r="B19" s="18" t="s">
        <v>338</v>
      </c>
    </row>
    <row r="21" spans="1:2" ht="30" customHeight="1" x14ac:dyDescent="0.25"/>
    <row r="22" spans="1:2" ht="30" customHeight="1" x14ac:dyDescent="0.25">
      <c r="A22" s="12" t="s">
        <v>339</v>
      </c>
    </row>
    <row r="23" spans="1:2" ht="30" customHeight="1" x14ac:dyDescent="0.25">
      <c r="A23" s="81" t="s">
        <v>340</v>
      </c>
      <c r="B23" s="18" t="s">
        <v>341</v>
      </c>
    </row>
    <row r="24" spans="1:2" ht="30" customHeight="1" x14ac:dyDescent="0.25">
      <c r="A24" s="81" t="s">
        <v>342</v>
      </c>
      <c r="B24" s="18" t="s">
        <v>343</v>
      </c>
    </row>
    <row r="25" spans="1:2" ht="30" customHeight="1" x14ac:dyDescent="0.25">
      <c r="A25" s="81" t="s">
        <v>344</v>
      </c>
      <c r="B25" s="18" t="s">
        <v>345</v>
      </c>
    </row>
    <row r="26" spans="1:2" ht="30" customHeight="1" x14ac:dyDescent="0.25">
      <c r="A26" s="81" t="s">
        <v>346</v>
      </c>
      <c r="B26" s="18" t="s">
        <v>347</v>
      </c>
    </row>
    <row r="27" spans="1:2" ht="45" customHeight="1" x14ac:dyDescent="0.25">
      <c r="A27" s="81" t="s">
        <v>348</v>
      </c>
      <c r="B27" s="18" t="s">
        <v>349</v>
      </c>
    </row>
    <row r="28" spans="1:2" x14ac:dyDescent="0.25">
      <c r="A28" s="81" t="s">
        <v>350</v>
      </c>
      <c r="B28" s="18" t="s">
        <v>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2"/>
  <sheetViews>
    <sheetView workbookViewId="0"/>
  </sheetViews>
  <sheetFormatPr defaultRowHeight="15" x14ac:dyDescent="0.25"/>
  <cols>
    <col min="1" max="1" width="26" style="87" customWidth="1"/>
    <col min="2" max="2" width="16" style="87" customWidth="1"/>
    <col min="3" max="3" width="22" style="87" customWidth="1"/>
    <col min="5" max="5" width="48" style="87" customWidth="1"/>
  </cols>
  <sheetData>
    <row r="1" spans="1:5" x14ac:dyDescent="0.25">
      <c r="A1" t="s">
        <v>352</v>
      </c>
      <c r="B1" t="s">
        <v>342</v>
      </c>
      <c r="C1" t="s">
        <v>353</v>
      </c>
      <c r="E1" t="s">
        <v>354</v>
      </c>
    </row>
    <row r="2" spans="1:5" x14ac:dyDescent="0.25">
      <c r="A2" t="s">
        <v>5</v>
      </c>
      <c r="B2" t="s">
        <v>6</v>
      </c>
      <c r="C2" t="s">
        <v>7</v>
      </c>
      <c r="E2" t="s">
        <v>355</v>
      </c>
    </row>
    <row r="3" spans="1:5" x14ac:dyDescent="0.25">
      <c r="A3" t="s">
        <v>9</v>
      </c>
      <c r="B3" t="s">
        <v>10</v>
      </c>
      <c r="C3" t="s">
        <v>11</v>
      </c>
      <c r="E3" t="s">
        <v>356</v>
      </c>
    </row>
    <row r="4" spans="1:5" x14ac:dyDescent="0.25">
      <c r="A4" t="s">
        <v>13</v>
      </c>
      <c r="B4" t="s">
        <v>14</v>
      </c>
      <c r="C4" t="s">
        <v>15</v>
      </c>
      <c r="E4" t="s">
        <v>357</v>
      </c>
    </row>
    <row r="5" spans="1:5" x14ac:dyDescent="0.25">
      <c r="A5" t="s">
        <v>24</v>
      </c>
      <c r="B5" t="s">
        <v>25</v>
      </c>
      <c r="C5" t="s">
        <v>26</v>
      </c>
      <c r="E5" t="s">
        <v>358</v>
      </c>
    </row>
    <row r="6" spans="1:5" x14ac:dyDescent="0.25">
      <c r="A6" t="s">
        <v>27</v>
      </c>
      <c r="C6" t="s">
        <v>28</v>
      </c>
      <c r="E6" t="s">
        <v>359</v>
      </c>
    </row>
    <row r="7" spans="1:5" x14ac:dyDescent="0.25">
      <c r="A7" t="s">
        <v>32</v>
      </c>
      <c r="C7" t="s">
        <v>33</v>
      </c>
      <c r="E7" t="s">
        <v>360</v>
      </c>
    </row>
    <row r="8" spans="1:5" x14ac:dyDescent="0.25">
      <c r="A8" t="s">
        <v>37</v>
      </c>
      <c r="C8" t="s">
        <v>38</v>
      </c>
      <c r="E8" t="s">
        <v>361</v>
      </c>
    </row>
    <row r="9" spans="1:5" x14ac:dyDescent="0.25">
      <c r="A9" t="s">
        <v>58</v>
      </c>
      <c r="C9" t="s">
        <v>59</v>
      </c>
      <c r="E9" t="s">
        <v>362</v>
      </c>
    </row>
    <row r="10" spans="1:5" x14ac:dyDescent="0.25">
      <c r="A10" t="s">
        <v>60</v>
      </c>
      <c r="C10" t="s">
        <v>61</v>
      </c>
      <c r="E10" t="s">
        <v>363</v>
      </c>
    </row>
    <row r="11" spans="1:5" x14ac:dyDescent="0.25">
      <c r="A11" t="s">
        <v>62</v>
      </c>
      <c r="C11" t="s">
        <v>63</v>
      </c>
      <c r="E11" t="s">
        <v>364</v>
      </c>
    </row>
    <row r="12" spans="1:5" x14ac:dyDescent="0.25">
      <c r="A12" t="s">
        <v>64</v>
      </c>
      <c r="C12" t="s">
        <v>65</v>
      </c>
      <c r="E12" t="s">
        <v>365</v>
      </c>
    </row>
    <row r="13" spans="1:5" x14ac:dyDescent="0.25">
      <c r="A13" t="s">
        <v>66</v>
      </c>
      <c r="C13" t="s">
        <v>67</v>
      </c>
    </row>
    <row r="14" spans="1:5" x14ac:dyDescent="0.25">
      <c r="A14" t="s">
        <v>68</v>
      </c>
      <c r="C14" t="s">
        <v>69</v>
      </c>
    </row>
    <row r="15" spans="1:5" x14ac:dyDescent="0.25">
      <c r="A15" t="s">
        <v>70</v>
      </c>
      <c r="C15" t="s">
        <v>71</v>
      </c>
    </row>
    <row r="16" spans="1:5" x14ac:dyDescent="0.25">
      <c r="A16" t="s">
        <v>72</v>
      </c>
      <c r="C16" t="s">
        <v>73</v>
      </c>
    </row>
    <row r="17" spans="1:3" x14ac:dyDescent="0.25">
      <c r="A17" t="s">
        <v>74</v>
      </c>
      <c r="C17" t="s">
        <v>75</v>
      </c>
    </row>
    <row r="18" spans="1:3" x14ac:dyDescent="0.25">
      <c r="A18" t="s">
        <v>81</v>
      </c>
      <c r="C18" t="s">
        <v>82</v>
      </c>
    </row>
    <row r="19" spans="1:3" x14ac:dyDescent="0.25">
      <c r="A19" t="s">
        <v>89</v>
      </c>
      <c r="C19" t="s">
        <v>90</v>
      </c>
    </row>
    <row r="20" spans="1:3" x14ac:dyDescent="0.25">
      <c r="A20" t="s">
        <v>91</v>
      </c>
      <c r="C20" t="s">
        <v>92</v>
      </c>
    </row>
    <row r="21" spans="1:3" x14ac:dyDescent="0.25">
      <c r="A21" t="s">
        <v>94</v>
      </c>
      <c r="C21" t="s">
        <v>95</v>
      </c>
    </row>
    <row r="22" spans="1:3" x14ac:dyDescent="0.25">
      <c r="A22" t="s">
        <v>96</v>
      </c>
      <c r="C22" t="s">
        <v>97</v>
      </c>
    </row>
    <row r="23" spans="1:3" x14ac:dyDescent="0.25">
      <c r="A23" t="s">
        <v>98</v>
      </c>
      <c r="C23" t="s">
        <v>99</v>
      </c>
    </row>
    <row r="24" spans="1:3" x14ac:dyDescent="0.25">
      <c r="A24" t="s">
        <v>100</v>
      </c>
      <c r="C24" t="s">
        <v>101</v>
      </c>
    </row>
    <row r="25" spans="1:3" x14ac:dyDescent="0.25">
      <c r="A25" t="s">
        <v>102</v>
      </c>
      <c r="C25" t="s">
        <v>103</v>
      </c>
    </row>
    <row r="26" spans="1:3" x14ac:dyDescent="0.25">
      <c r="A26" t="s">
        <v>104</v>
      </c>
      <c r="C26" t="s">
        <v>105</v>
      </c>
    </row>
    <row r="27" spans="1:3" x14ac:dyDescent="0.25">
      <c r="A27" t="s">
        <v>106</v>
      </c>
      <c r="C27" t="s">
        <v>107</v>
      </c>
    </row>
    <row r="28" spans="1:3" x14ac:dyDescent="0.25">
      <c r="A28" t="s">
        <v>108</v>
      </c>
      <c r="C28" t="s">
        <v>109</v>
      </c>
    </row>
    <row r="29" spans="1:3" x14ac:dyDescent="0.25">
      <c r="A29" t="s">
        <v>110</v>
      </c>
      <c r="C29" t="s">
        <v>111</v>
      </c>
    </row>
    <row r="30" spans="1:3" x14ac:dyDescent="0.25">
      <c r="A30" t="s">
        <v>112</v>
      </c>
      <c r="C30" t="s">
        <v>113</v>
      </c>
    </row>
    <row r="31" spans="1:3" x14ac:dyDescent="0.25">
      <c r="A31" t="s">
        <v>114</v>
      </c>
      <c r="C31" t="s">
        <v>115</v>
      </c>
    </row>
    <row r="32" spans="1:3" x14ac:dyDescent="0.25">
      <c r="A32" t="s">
        <v>117</v>
      </c>
      <c r="C32" t="s">
        <v>118</v>
      </c>
    </row>
    <row r="33" spans="1:3" x14ac:dyDescent="0.25">
      <c r="A33" t="s">
        <v>119</v>
      </c>
      <c r="C33" t="s">
        <v>120</v>
      </c>
    </row>
    <row r="34" spans="1:3" x14ac:dyDescent="0.25">
      <c r="A34" t="s">
        <v>121</v>
      </c>
      <c r="C34" t="s">
        <v>122</v>
      </c>
    </row>
    <row r="35" spans="1:3" x14ac:dyDescent="0.25">
      <c r="A35" t="s">
        <v>124</v>
      </c>
      <c r="C35" t="s">
        <v>125</v>
      </c>
    </row>
    <row r="36" spans="1:3" x14ac:dyDescent="0.25">
      <c r="A36" t="s">
        <v>126</v>
      </c>
      <c r="C36" t="s">
        <v>127</v>
      </c>
    </row>
    <row r="37" spans="1:3" x14ac:dyDescent="0.25">
      <c r="A37" t="s">
        <v>128</v>
      </c>
      <c r="C37" t="s">
        <v>129</v>
      </c>
    </row>
    <row r="38" spans="1:3" x14ac:dyDescent="0.25">
      <c r="A38" t="s">
        <v>130</v>
      </c>
      <c r="C38" t="s">
        <v>131</v>
      </c>
    </row>
    <row r="39" spans="1:3" x14ac:dyDescent="0.25">
      <c r="A39" t="s">
        <v>132</v>
      </c>
      <c r="C39" t="s">
        <v>133</v>
      </c>
    </row>
    <row r="40" spans="1:3" x14ac:dyDescent="0.25">
      <c r="A40" t="s">
        <v>134</v>
      </c>
      <c r="C40" t="s">
        <v>135</v>
      </c>
    </row>
    <row r="41" spans="1:3" x14ac:dyDescent="0.25">
      <c r="A41" t="s">
        <v>136</v>
      </c>
      <c r="C41" t="s">
        <v>137</v>
      </c>
    </row>
    <row r="42" spans="1:3" x14ac:dyDescent="0.25">
      <c r="A42" t="s">
        <v>138</v>
      </c>
      <c r="C42" t="s">
        <v>139</v>
      </c>
    </row>
    <row r="43" spans="1:3" x14ac:dyDescent="0.25">
      <c r="A43" t="s">
        <v>140</v>
      </c>
      <c r="C43" t="s">
        <v>141</v>
      </c>
    </row>
    <row r="44" spans="1:3" x14ac:dyDescent="0.25">
      <c r="A44" t="s">
        <v>142</v>
      </c>
      <c r="C44" t="s">
        <v>143</v>
      </c>
    </row>
    <row r="45" spans="1:3" x14ac:dyDescent="0.25">
      <c r="A45" t="s">
        <v>144</v>
      </c>
      <c r="C45" t="s">
        <v>145</v>
      </c>
    </row>
    <row r="46" spans="1:3" x14ac:dyDescent="0.25">
      <c r="A46" t="s">
        <v>147</v>
      </c>
      <c r="C46" t="s">
        <v>148</v>
      </c>
    </row>
    <row r="47" spans="1:3" x14ac:dyDescent="0.25">
      <c r="A47" t="s">
        <v>149</v>
      </c>
      <c r="C47" t="s">
        <v>150</v>
      </c>
    </row>
    <row r="48" spans="1:3" x14ac:dyDescent="0.25">
      <c r="A48" t="s">
        <v>151</v>
      </c>
      <c r="C48" t="s">
        <v>152</v>
      </c>
    </row>
    <row r="49" spans="1:3" x14ac:dyDescent="0.25">
      <c r="A49" t="s">
        <v>154</v>
      </c>
      <c r="C49" t="s">
        <v>155</v>
      </c>
    </row>
    <row r="50" spans="1:3" x14ac:dyDescent="0.25">
      <c r="A50" t="s">
        <v>156</v>
      </c>
      <c r="C50" t="s">
        <v>157</v>
      </c>
    </row>
    <row r="51" spans="1:3" x14ac:dyDescent="0.25">
      <c r="A51" t="s">
        <v>158</v>
      </c>
      <c r="C51" t="s">
        <v>159</v>
      </c>
    </row>
    <row r="52" spans="1:3" x14ac:dyDescent="0.25">
      <c r="A52" t="s">
        <v>160</v>
      </c>
      <c r="C52" t="s">
        <v>161</v>
      </c>
    </row>
    <row r="53" spans="1:3" x14ac:dyDescent="0.25">
      <c r="A53" t="s">
        <v>162</v>
      </c>
      <c r="C53" t="s">
        <v>163</v>
      </c>
    </row>
    <row r="54" spans="1:3" x14ac:dyDescent="0.25">
      <c r="A54" t="s">
        <v>164</v>
      </c>
      <c r="C54" t="s">
        <v>165</v>
      </c>
    </row>
    <row r="55" spans="1:3" x14ac:dyDescent="0.25">
      <c r="A55" t="s">
        <v>166</v>
      </c>
      <c r="C55" t="s">
        <v>167</v>
      </c>
    </row>
    <row r="56" spans="1:3" x14ac:dyDescent="0.25">
      <c r="A56" t="s">
        <v>168</v>
      </c>
      <c r="C56" t="s">
        <v>169</v>
      </c>
    </row>
    <row r="57" spans="1:3" x14ac:dyDescent="0.25">
      <c r="A57" t="s">
        <v>170</v>
      </c>
      <c r="C57" t="s">
        <v>171</v>
      </c>
    </row>
    <row r="58" spans="1:3" x14ac:dyDescent="0.25">
      <c r="A58" t="s">
        <v>172</v>
      </c>
      <c r="C58" t="s">
        <v>173</v>
      </c>
    </row>
    <row r="59" spans="1:3" x14ac:dyDescent="0.25">
      <c r="A59" t="s">
        <v>174</v>
      </c>
      <c r="C59" t="s">
        <v>175</v>
      </c>
    </row>
    <row r="60" spans="1:3" x14ac:dyDescent="0.25">
      <c r="A60" t="s">
        <v>177</v>
      </c>
      <c r="C60" t="s">
        <v>178</v>
      </c>
    </row>
    <row r="61" spans="1:3" x14ac:dyDescent="0.25">
      <c r="A61" t="s">
        <v>179</v>
      </c>
      <c r="C61" t="s">
        <v>180</v>
      </c>
    </row>
    <row r="62" spans="1:3" x14ac:dyDescent="0.25">
      <c r="A62" t="s">
        <v>181</v>
      </c>
      <c r="C62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Bilhete</vt:lpstr>
      <vt:lpstr>Resumo do Bilhete</vt:lpstr>
      <vt:lpstr>Poisson</vt:lpstr>
      <vt:lpstr>Correlação</vt:lpstr>
      <vt:lpstr>Parametros</vt:lpstr>
      <vt:lpstr>Glossário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Mago Warlock</dc:creator>
  <cp:keywords>Mago das Bets</cp:keywords>
  <cp:lastModifiedBy>Renan Barbosa</cp:lastModifiedBy>
  <dcterms:created xsi:type="dcterms:W3CDTF">2026-09-01T23:07:39Z</dcterms:created>
  <dcterms:modified xsi:type="dcterms:W3CDTF">2026-09-15T01:55:00Z</dcterms:modified>
</cp:coreProperties>
</file>